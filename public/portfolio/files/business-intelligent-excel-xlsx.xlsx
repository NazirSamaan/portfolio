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hidePivotFieldList="1" defaultThemeVersion="166925"/>
  <mc:AlternateContent xmlns:mc="http://schemas.openxmlformats.org/markup-compatibility/2006">
    <mc:Choice Requires="x15">
      <x15ac:absPath xmlns:x15ac="http://schemas.microsoft.com/office/spreadsheetml/2010/11/ac" url="C:\Users\User\Music\"/>
    </mc:Choice>
  </mc:AlternateContent>
  <xr:revisionPtr revIDLastSave="0" documentId="13_ncr:1_{9C87A03B-3CF2-4B72-BDFE-BB18781AD91F}" xr6:coauthVersionLast="47" xr6:coauthVersionMax="47" xr10:uidLastSave="{00000000-0000-0000-0000-000000000000}"/>
  <bookViews>
    <workbookView xWindow="0" yWindow="60" windowWidth="28800" windowHeight="15540" xr2:uid="{00000000-000D-0000-FFFF-FFFF00000000}"/>
  </bookViews>
  <sheets>
    <sheet name="Dashboard" sheetId="10" r:id="rId1"/>
    <sheet name="ServiceRatingByDate" sheetId="2" r:id="rId2"/>
    <sheet name="NumberOfHoursWorkedperEmployee" sheetId="4" r:id="rId3"/>
    <sheet name="Service Rating by Shift" sheetId="6" r:id="rId4"/>
    <sheet name="Service Rating by Employee" sheetId="7" r:id="rId5"/>
    <sheet name="Service Rating by Supervisor" sheetId="8" r:id="rId6"/>
    <sheet name="Service Rating by Division" sheetId="9" r:id="rId7"/>
    <sheet name="Rawdata" sheetId="1" r:id="rId8"/>
  </sheets>
  <definedNames>
    <definedName name="Slicer_Date">#N/A</definedName>
    <definedName name="Slicer_Division">#N/A</definedName>
    <definedName name="Slicer_Employee">#N/A</definedName>
    <definedName name="Slicer_Shift">#N/A</definedName>
    <definedName name="Slicer_Supervisor">#N/A</definedName>
    <definedName name="Slicer_Years">#N/A</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73" i="10" l="1"/>
  <c r="B77" i="10"/>
  <c r="B76" i="10"/>
  <c r="B75" i="10"/>
  <c r="B74" i="10"/>
  <c r="C73" i="10"/>
  <c r="C76" i="10"/>
  <c r="C75" i="10"/>
  <c r="C74" i="10"/>
  <c r="C77" i="10"/>
</calcChain>
</file>

<file path=xl/sharedStrings.xml><?xml version="1.0" encoding="utf-8"?>
<sst xmlns="http://schemas.openxmlformats.org/spreadsheetml/2006/main" count="799" uniqueCount="129">
  <si>
    <t>Service Rating by Date</t>
  </si>
  <si>
    <t>Date</t>
  </si>
  <si>
    <t>Grand Total</t>
  </si>
  <si>
    <t>Row Labels</t>
  </si>
  <si>
    <t>Apr</t>
  </si>
  <si>
    <t>Food and Beverage Production Department</t>
  </si>
  <si>
    <t>Front Office Department</t>
  </si>
  <si>
    <t>Housekeeping Department</t>
  </si>
  <si>
    <t>Information Technology Department</t>
  </si>
  <si>
    <t>Security Department</t>
  </si>
  <si>
    <t xml:space="preserve">Sum of No of Hour Worked by Employee </t>
  </si>
  <si>
    <t>Column Labels</t>
  </si>
  <si>
    <t>Morning</t>
  </si>
  <si>
    <t>Night</t>
  </si>
  <si>
    <t>Aizat</t>
  </si>
  <si>
    <t>Ali</t>
  </si>
  <si>
    <t>Alias</t>
  </si>
  <si>
    <t>Amal</t>
  </si>
  <si>
    <t>Amir</t>
  </si>
  <si>
    <t>Aqmal</t>
  </si>
  <si>
    <t>Arif</t>
  </si>
  <si>
    <t>Azrul</t>
  </si>
  <si>
    <t>Ben</t>
  </si>
  <si>
    <t>Ezzah</t>
  </si>
  <si>
    <t>Fahmi</t>
  </si>
  <si>
    <t>Faiq</t>
  </si>
  <si>
    <t>Faizah</t>
  </si>
  <si>
    <t>Farah</t>
  </si>
  <si>
    <t>Farhan</t>
  </si>
  <si>
    <t>Farid</t>
  </si>
  <si>
    <t>Finas</t>
  </si>
  <si>
    <t>Fitri</t>
  </si>
  <si>
    <t>Hariz</t>
  </si>
  <si>
    <t>Harmi</t>
  </si>
  <si>
    <t>Hasif</t>
  </si>
  <si>
    <t>Ikhwan</t>
  </si>
  <si>
    <t>Irna</t>
  </si>
  <si>
    <t>Mac</t>
  </si>
  <si>
    <t>Mark</t>
  </si>
  <si>
    <t>Minah</t>
  </si>
  <si>
    <t>Muiz</t>
  </si>
  <si>
    <t>Mujib</t>
  </si>
  <si>
    <t>Najwa</t>
  </si>
  <si>
    <t>Nana</t>
  </si>
  <si>
    <t>Nasri</t>
  </si>
  <si>
    <t>Nawi</t>
  </si>
  <si>
    <t>Nuh</t>
  </si>
  <si>
    <t>Nurul</t>
  </si>
  <si>
    <t>Rahimah</t>
  </si>
  <si>
    <t>Raihan</t>
  </si>
  <si>
    <t>Raisa</t>
  </si>
  <si>
    <t>Rasyimah</t>
  </si>
  <si>
    <t>Rina</t>
  </si>
  <si>
    <t>Ryan</t>
  </si>
  <si>
    <t>Samsul</t>
  </si>
  <si>
    <t>Sari</t>
  </si>
  <si>
    <t>Serudin</t>
  </si>
  <si>
    <t>Syafiq</t>
  </si>
  <si>
    <t>Syasya</t>
  </si>
  <si>
    <t>Syukriah</t>
  </si>
  <si>
    <t>Tina</t>
  </si>
  <si>
    <t>Tiqah</t>
  </si>
  <si>
    <t>Umar</t>
  </si>
  <si>
    <t>Wadihah</t>
  </si>
  <si>
    <t>Warid</t>
  </si>
  <si>
    <t>Zafrid</t>
  </si>
  <si>
    <t>Zaki</t>
  </si>
  <si>
    <t>Zamri</t>
  </si>
  <si>
    <t>Zeha</t>
  </si>
  <si>
    <t>Zian</t>
  </si>
  <si>
    <t>Zikri</t>
  </si>
  <si>
    <t>Zira</t>
  </si>
  <si>
    <t>Sum of Service by Shift</t>
  </si>
  <si>
    <t>Shift</t>
  </si>
  <si>
    <t>Food and Beverage Service</t>
  </si>
  <si>
    <t>Housekeeping services</t>
  </si>
  <si>
    <t>Internet Services</t>
  </si>
  <si>
    <t>Laundry Services</t>
  </si>
  <si>
    <t>Reception Service</t>
  </si>
  <si>
    <t>Room Service</t>
  </si>
  <si>
    <t>Security Services</t>
  </si>
  <si>
    <t>Car Rental Service</t>
  </si>
  <si>
    <t>Sum of Service Rating by Employee</t>
  </si>
  <si>
    <t>Employee</t>
  </si>
  <si>
    <t>Sum of Service Rating by Supervisor</t>
  </si>
  <si>
    <t>Supervisor</t>
  </si>
  <si>
    <t>Aiman</t>
  </si>
  <si>
    <t>Aira</t>
  </si>
  <si>
    <t>Azri</t>
  </si>
  <si>
    <t>Husna</t>
  </si>
  <si>
    <t>Rahman</t>
  </si>
  <si>
    <t>Syirah</t>
  </si>
  <si>
    <t>Wahid</t>
  </si>
  <si>
    <t>Wali</t>
  </si>
  <si>
    <t>Ziqah</t>
  </si>
  <si>
    <t>Sum of Service Rating By Division</t>
  </si>
  <si>
    <t>Service Type</t>
  </si>
  <si>
    <t>Division</t>
  </si>
  <si>
    <t>Punch In</t>
  </si>
  <si>
    <t>Punch Out</t>
  </si>
  <si>
    <t>No of Hour</t>
  </si>
  <si>
    <t>Manager</t>
  </si>
  <si>
    <t>Customer</t>
  </si>
  <si>
    <t>Service Rating</t>
  </si>
  <si>
    <t>Ahmad</t>
  </si>
  <si>
    <t>Rena</t>
  </si>
  <si>
    <t>Aina</t>
  </si>
  <si>
    <t>Bujang</t>
  </si>
  <si>
    <t>Duan</t>
  </si>
  <si>
    <t>Hana</t>
  </si>
  <si>
    <t>Hasan</t>
  </si>
  <si>
    <t>Zen</t>
  </si>
  <si>
    <t>Zurry</t>
  </si>
  <si>
    <t>Mina</t>
  </si>
  <si>
    <t>Wana</t>
  </si>
  <si>
    <t>Saleh</t>
  </si>
  <si>
    <t>Sam</t>
  </si>
  <si>
    <t>Rasyid</t>
  </si>
  <si>
    <t>Rahim</t>
  </si>
  <si>
    <t>Yusri</t>
  </si>
  <si>
    <t>Sarah</t>
  </si>
  <si>
    <t>Naim</t>
  </si>
  <si>
    <t xml:space="preserve">Division &amp; Service Rating by Customer </t>
  </si>
  <si>
    <t>Service Rating by Division</t>
  </si>
  <si>
    <t>Rating Customer</t>
  </si>
  <si>
    <t>2019</t>
  </si>
  <si>
    <t>2019 Total</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</si>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</sst>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m/d/yy;@"/>
  </numFmts>
  <fonts count="4" x14ac:knownFonts="1">
    <font>
      <sz val="11"/>
      <color theme="1"/>
      <name val="Calibri"/>
      <family val="2"/>
      <scheme val="minor"/>
    </font>
    <font>
      <b/>
      <sz val="11"/>
      <color theme="1"/>
      <name val="Calibri"/>
      <family val="2"/>
      <scheme val="minor"/>
    </font>
    <font>
      <b/>
      <sz val="16"/>
      <name val="Calibri"/>
      <family val="2"/>
      <scheme val="minor"/>
    </font>
    <font>
      <sz val="11"/>
      <name val="Calibri"/>
      <family val="2"/>
      <scheme val="minor"/>
    </font>
  </fonts>
  <fills count="6">
    <fill>
      <patternFill patternType="none"/>
    </fill>
    <fill>
      <patternFill patternType="gray125"/>
    </fill>
    <fill>
      <patternFill patternType="solid">
        <fgColor rgb="FF8000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0" fillId="0" borderId="0" xfId="0" applyAlignment="1">
      <alignment horizontal="left" vertical="center"/>
    </xf>
    <xf numFmtId="164" fontId="0" fillId="0" borderId="0" xfId="0" applyNumberFormat="1" applyAlignment="1">
      <alignment horizontal="left" vertical="center"/>
    </xf>
    <xf numFmtId="0" fontId="0" fillId="0" borderId="0" xfId="0" applyAlignment="1">
      <alignment vertical="center"/>
    </xf>
    <xf numFmtId="165" fontId="0" fillId="0" borderId="0" xfId="0" applyNumberFormat="1"/>
    <xf numFmtId="14" fontId="0" fillId="0" borderId="0" xfId="0" applyNumberFormat="1" applyAlignment="1">
      <alignment horizontal="center" vertical="center"/>
    </xf>
    <xf numFmtId="0" fontId="0" fillId="0" borderId="0" xfId="0" pivotButton="1"/>
    <xf numFmtId="14" fontId="0" fillId="0" borderId="0" xfId="0" applyNumberFormat="1"/>
    <xf numFmtId="0" fontId="0" fillId="0" borderId="0" xfId="0" applyAlignment="1">
      <alignment horizontal="left"/>
    </xf>
    <xf numFmtId="0" fontId="0" fillId="0" borderId="0" xfId="0" applyAlignment="1">
      <alignment horizontal="center"/>
    </xf>
    <xf numFmtId="0" fontId="0" fillId="0" borderId="0" xfId="0" pivotButton="1" applyAlignment="1">
      <alignment horizontal="left"/>
    </xf>
    <xf numFmtId="0" fontId="0" fillId="0" borderId="0" xfId="0" applyBorder="1"/>
    <xf numFmtId="0" fontId="0" fillId="2" borderId="0" xfId="0" applyFill="1" applyAlignment="1"/>
    <xf numFmtId="0" fontId="0" fillId="0" borderId="0" xfId="0" applyNumberFormat="1"/>
    <xf numFmtId="0" fontId="0" fillId="3" borderId="3" xfId="0" applyFill="1" applyBorder="1" applyAlignment="1">
      <alignment horizontal="center"/>
    </xf>
    <xf numFmtId="0" fontId="0" fillId="3" borderId="1" xfId="0" applyFill="1" applyBorder="1" applyAlignment="1"/>
    <xf numFmtId="0" fontId="0" fillId="3" borderId="4" xfId="0" applyFill="1" applyBorder="1" applyAlignment="1"/>
    <xf numFmtId="0" fontId="0" fillId="5" borderId="3" xfId="0" applyFill="1" applyBorder="1" applyAlignment="1">
      <alignment horizontal="left"/>
    </xf>
    <xf numFmtId="0" fontId="0" fillId="5" borderId="1" xfId="0" applyFill="1" applyBorder="1" applyAlignment="1">
      <alignment horizontal="center"/>
    </xf>
    <xf numFmtId="0" fontId="0" fillId="5" borderId="1" xfId="0" applyFill="1" applyBorder="1" applyAlignment="1"/>
    <xf numFmtId="0" fontId="0" fillId="5" borderId="4" xfId="0" applyFill="1" applyBorder="1" applyAlignment="1">
      <alignment horizontal="center"/>
    </xf>
    <xf numFmtId="0" fontId="0" fillId="5" borderId="4" xfId="0" applyFill="1" applyBorder="1" applyAlignment="1"/>
    <xf numFmtId="0" fontId="0" fillId="5" borderId="5" xfId="0" applyFill="1" applyBorder="1" applyAlignment="1">
      <alignment horizontal="left"/>
    </xf>
    <xf numFmtId="0" fontId="0" fillId="5" borderId="2" xfId="0" applyFill="1" applyBorder="1" applyAlignment="1">
      <alignment horizontal="center"/>
    </xf>
    <xf numFmtId="0" fontId="0" fillId="5" borderId="2" xfId="0" applyFill="1" applyBorder="1" applyAlignment="1"/>
    <xf numFmtId="0" fontId="0" fillId="5" borderId="6" xfId="0" applyFill="1" applyBorder="1" applyAlignment="1"/>
    <xf numFmtId="0" fontId="3" fillId="4" borderId="7" xfId="0" applyFont="1" applyFill="1" applyBorder="1" applyAlignment="1">
      <alignment horizontal="center"/>
    </xf>
    <xf numFmtId="0" fontId="3" fillId="4" borderId="8" xfId="0" applyFont="1" applyFill="1" applyBorder="1" applyAlignment="1">
      <alignment horizontal="center"/>
    </xf>
    <xf numFmtId="0" fontId="3" fillId="4" borderId="9" xfId="0" applyFont="1" applyFill="1" applyBorder="1" applyAlignment="1">
      <alignment horizontal="center"/>
    </xf>
    <xf numFmtId="0" fontId="0" fillId="0" borderId="0" xfId="0" applyNumberFormat="1" applyAlignment="1">
      <alignment horizontal="center"/>
    </xf>
  </cellXfs>
  <cellStyles count="1">
    <cellStyle name="Normal" xfId="0" builtinId="0"/>
  </cellStyles>
  <dxfs count="1597">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center"/>
    </dxf>
    <dxf>
      <alignment horizontal="left"/>
    </dxf>
    <dxf>
      <alignment horizontal="left"/>
    </dxf>
    <dxf>
      <alignment horizontal="left"/>
    </dxf>
    <dxf>
      <alignment horizontal="left"/>
    </dxf>
    <dxf>
      <alignment horizontal="left" vertical="center" textRotation="0" wrapText="0" indent="0" justifyLastLine="0" shrinkToFit="0" readingOrder="0"/>
    </dxf>
    <dxf>
      <alignment horizontal="left"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4" formatCode="[$-409]h:mm\ AM/PM;@"/>
      <alignment horizontal="left" vertical="center" textRotation="0" wrapText="0" indent="0" justifyLastLine="0" shrinkToFit="0" readingOrder="0"/>
    </dxf>
    <dxf>
      <numFmt numFmtId="164" formatCode="[$-409]h:mm\ AM/PM;@"/>
      <alignment horizontal="left" vertical="center" textRotation="0" wrapText="0" indent="0" justifyLastLine="0" shrinkToFit="0" readingOrder="0"/>
    </dxf>
    <dxf>
      <alignment horizontal="left" vertical="center" textRotation="0" wrapText="0" indent="0" justifyLastLine="0" shrinkToFit="0" readingOrder="0"/>
    </dxf>
    <dxf>
      <numFmt numFmtId="19" formatCode="m/d/yyyy"/>
      <alignment horizontal="center" vertical="center" textRotation="0" wrapText="0" indent="0" justifyLastLine="0" shrinkToFit="0" readingOrder="0"/>
    </dxf>
    <dxf>
      <font>
        <b/>
        <strike val="0"/>
        <outline val="0"/>
        <shadow val="0"/>
        <u val="none"/>
        <vertAlign val="baseline"/>
        <sz val="16"/>
        <color auto="1"/>
        <name val="Calibri"/>
        <scheme val="minor"/>
      </fon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center"/>
    </dxf>
  </dxfs>
  <tableStyles count="0" defaultTableStyle="TableStyleMedium2" defaultPivotStyle="PivotStyleLight16"/>
  <colors>
    <mruColors>
      <color rgb="FF800000"/>
      <color rgb="FF4D4D4D"/>
      <color rgb="FF602222"/>
      <color rgb="FF76C1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Intelligent1.xlsx]ServiceRatingByDate!PivotTable4</c:name>
    <c:fmtId val="5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8569812352492"/>
          <c:y val="9.4050743657042871E-2"/>
          <c:w val="0.38475910032274996"/>
          <c:h val="0.82360197622356024"/>
        </c:manualLayout>
      </c:layout>
      <c:barChart>
        <c:barDir val="bar"/>
        <c:grouping val="stacked"/>
        <c:varyColors val="0"/>
        <c:ser>
          <c:idx val="0"/>
          <c:order val="0"/>
          <c:tx>
            <c:strRef>
              <c:f>ServiceRatingByDate!$B$3:$B$5</c:f>
              <c:strCache>
                <c:ptCount val="1"/>
                <c:pt idx="0">
                  <c:v>2019 - Apr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ServiceRatingByDate!$B$6:$B$11</c:f>
              <c:numCache>
                <c:formatCode>General</c:formatCode>
                <c:ptCount val="5"/>
                <c:pt idx="2">
                  <c:v>5</c:v>
                </c:pt>
              </c:numCache>
            </c:numRef>
          </c:val>
          <c:extLst>
            <c:ext xmlns:c16="http://schemas.microsoft.com/office/drawing/2014/chart" uri="{C3380CC4-5D6E-409C-BE32-E72D297353CC}">
              <c16:uniqueId val="{00000000-6A0C-4A11-BBB8-B194D7F6303F}"/>
            </c:ext>
          </c:extLst>
        </c:ser>
        <c:ser>
          <c:idx val="1"/>
          <c:order val="1"/>
          <c:tx>
            <c:strRef>
              <c:f>ServiceRatingByDate!$C$3:$C$5</c:f>
              <c:strCache>
                <c:ptCount val="1"/>
                <c:pt idx="0">
                  <c:v>2019 - Oct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ServiceRatingByDate!$C$6:$C$11</c:f>
              <c:numCache>
                <c:formatCode>General</c:formatCode>
                <c:ptCount val="5"/>
                <c:pt idx="0">
                  <c:v>7</c:v>
                </c:pt>
                <c:pt idx="3">
                  <c:v>7</c:v>
                </c:pt>
                <c:pt idx="4">
                  <c:v>7</c:v>
                </c:pt>
              </c:numCache>
            </c:numRef>
          </c:val>
          <c:extLst>
            <c:ext xmlns:c16="http://schemas.microsoft.com/office/drawing/2014/chart" uri="{C3380CC4-5D6E-409C-BE32-E72D297353CC}">
              <c16:uniqueId val="{000000A9-40C6-4FF3-BBEF-3F86DFE7FCAF}"/>
            </c:ext>
          </c:extLst>
        </c:ser>
        <c:ser>
          <c:idx val="2"/>
          <c:order val="2"/>
          <c:tx>
            <c:strRef>
              <c:f>ServiceRatingByDate!$D$3:$D$5</c:f>
              <c:strCache>
                <c:ptCount val="1"/>
                <c:pt idx="0">
                  <c:v>2019 - Nov</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ServiceRatingByDate!$D$6:$D$11</c:f>
              <c:numCache>
                <c:formatCode>General</c:formatCode>
                <c:ptCount val="5"/>
                <c:pt idx="1">
                  <c:v>6</c:v>
                </c:pt>
              </c:numCache>
            </c:numRef>
          </c:val>
          <c:extLst>
            <c:ext xmlns:c16="http://schemas.microsoft.com/office/drawing/2014/chart" uri="{C3380CC4-5D6E-409C-BE32-E72D297353CC}">
              <c16:uniqueId val="{000000AA-40C6-4FF3-BBEF-3F86DFE7FCAF}"/>
            </c:ext>
          </c:extLst>
        </c:ser>
        <c:dLbls>
          <c:dLblPos val="ctr"/>
          <c:showLegendKey val="0"/>
          <c:showVal val="1"/>
          <c:showCatName val="0"/>
          <c:showSerName val="0"/>
          <c:showPercent val="0"/>
          <c:showBubbleSize val="0"/>
        </c:dLbls>
        <c:gapWidth val="79"/>
        <c:overlap val="100"/>
        <c:axId val="12717008"/>
        <c:axId val="12717424"/>
      </c:barChart>
      <c:catAx>
        <c:axId val="1271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17424"/>
        <c:crosses val="autoZero"/>
        <c:auto val="1"/>
        <c:lblAlgn val="ctr"/>
        <c:lblOffset val="100"/>
        <c:noMultiLvlLbl val="0"/>
      </c:catAx>
      <c:valAx>
        <c:axId val="12717424"/>
        <c:scaling>
          <c:orientation val="minMax"/>
        </c:scaling>
        <c:delete val="1"/>
        <c:axPos val="b"/>
        <c:numFmt formatCode="General" sourceLinked="1"/>
        <c:majorTickMark val="none"/>
        <c:minorTickMark val="none"/>
        <c:tickLblPos val="nextTo"/>
        <c:crossAx val="1271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Intelligent1.xlsx]NumberOfHoursWorkedperEmployee!PivotTable5</c:name>
    <c:fmtId val="6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NumberOfHoursWorkedperEmployee!$B$3:$B$4</c:f>
              <c:strCache>
                <c:ptCount val="1"/>
                <c:pt idx="0">
                  <c:v>Morning</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NumberOfHoursWorkedperEmployee!$A$5:$A$10</c:f>
              <c:strCache>
                <c:ptCount val="5"/>
                <c:pt idx="0">
                  <c:v>Faiq</c:v>
                </c:pt>
                <c:pt idx="1">
                  <c:v>Farah</c:v>
                </c:pt>
                <c:pt idx="2">
                  <c:v>Finas</c:v>
                </c:pt>
                <c:pt idx="3">
                  <c:v>Nana</c:v>
                </c:pt>
                <c:pt idx="4">
                  <c:v>Ryan</c:v>
                </c:pt>
              </c:strCache>
            </c:strRef>
          </c:cat>
          <c:val>
            <c:numRef>
              <c:f>NumberOfHoursWorkedperEmployee!$B$5:$B$10</c:f>
              <c:numCache>
                <c:formatCode>General</c:formatCode>
                <c:ptCount val="5"/>
                <c:pt idx="1">
                  <c:v>8</c:v>
                </c:pt>
                <c:pt idx="2">
                  <c:v>8</c:v>
                </c:pt>
                <c:pt idx="3">
                  <c:v>8</c:v>
                </c:pt>
                <c:pt idx="4">
                  <c:v>8</c:v>
                </c:pt>
              </c:numCache>
            </c:numRef>
          </c:val>
          <c:smooth val="0"/>
          <c:extLst>
            <c:ext xmlns:c16="http://schemas.microsoft.com/office/drawing/2014/chart" uri="{C3380CC4-5D6E-409C-BE32-E72D297353CC}">
              <c16:uniqueId val="{00000000-BE33-4442-A129-2ADABB383AC6}"/>
            </c:ext>
          </c:extLst>
        </c:ser>
        <c:ser>
          <c:idx val="1"/>
          <c:order val="1"/>
          <c:tx>
            <c:strRef>
              <c:f>NumberOfHoursWorkedperEmployee!$C$3:$C$4</c:f>
              <c:strCache>
                <c:ptCount val="1"/>
                <c:pt idx="0">
                  <c:v>Night</c:v>
                </c:pt>
              </c:strCache>
            </c:strRef>
          </c:tx>
          <c:spPr>
            <a:ln w="31750" cap="rnd" cmpd="sng" algn="ctr">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NumberOfHoursWorkedperEmployee!$A$5:$A$10</c:f>
              <c:strCache>
                <c:ptCount val="5"/>
                <c:pt idx="0">
                  <c:v>Faiq</c:v>
                </c:pt>
                <c:pt idx="1">
                  <c:v>Farah</c:v>
                </c:pt>
                <c:pt idx="2">
                  <c:v>Finas</c:v>
                </c:pt>
                <c:pt idx="3">
                  <c:v>Nana</c:v>
                </c:pt>
                <c:pt idx="4">
                  <c:v>Ryan</c:v>
                </c:pt>
              </c:strCache>
            </c:strRef>
          </c:cat>
          <c:val>
            <c:numRef>
              <c:f>NumberOfHoursWorkedperEmployee!$C$5:$C$10</c:f>
              <c:numCache>
                <c:formatCode>General</c:formatCode>
                <c:ptCount val="5"/>
                <c:pt idx="0">
                  <c:v>8</c:v>
                </c:pt>
              </c:numCache>
            </c:numRef>
          </c:val>
          <c:smooth val="0"/>
          <c:extLst>
            <c:ext xmlns:c16="http://schemas.microsoft.com/office/drawing/2014/chart" uri="{C3380CC4-5D6E-409C-BE32-E72D297353CC}">
              <c16:uniqueId val="{00000016-E8F7-46D6-A599-8471656C49CF}"/>
            </c:ext>
          </c:extLst>
        </c:ser>
        <c:dLbls>
          <c:dLblPos val="ctr"/>
          <c:showLegendKey val="0"/>
          <c:showVal val="1"/>
          <c:showCatName val="0"/>
          <c:showSerName val="0"/>
          <c:showPercent val="0"/>
          <c:showBubbleSize val="0"/>
        </c:dLbls>
        <c:marker val="1"/>
        <c:smooth val="0"/>
        <c:axId val="15734672"/>
        <c:axId val="15735088"/>
      </c:lineChart>
      <c:catAx>
        <c:axId val="15734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35088"/>
        <c:crosses val="autoZero"/>
        <c:auto val="1"/>
        <c:lblAlgn val="ctr"/>
        <c:lblOffset val="100"/>
        <c:noMultiLvlLbl val="0"/>
      </c:catAx>
      <c:valAx>
        <c:axId val="15735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34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Shift!PivotTable2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 Rating by Shift'!$B$3:$B$4</c:f>
              <c:strCache>
                <c:ptCount val="1"/>
                <c:pt idx="0">
                  <c:v>Morning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'Service Rating by Shift'!$A$5:$A$10</c:f>
              <c:strCache>
                <c:ptCount val="5"/>
                <c:pt idx="0">
                  <c:v>Food and Beverage Service</c:v>
                </c:pt>
                <c:pt idx="1">
                  <c:v>Housekeeping services</c:v>
                </c:pt>
                <c:pt idx="2">
                  <c:v>Internet Services</c:v>
                </c:pt>
                <c:pt idx="3">
                  <c:v>Reception Service</c:v>
                </c:pt>
                <c:pt idx="4">
                  <c:v>Security Services</c:v>
                </c:pt>
              </c:strCache>
            </c:strRef>
          </c:cat>
          <c:val>
            <c:numRef>
              <c:f>'Service Rating by Shift'!$B$5:$B$10</c:f>
              <c:numCache>
                <c:formatCode>General</c:formatCode>
                <c:ptCount val="5"/>
                <c:pt idx="0">
                  <c:v>7</c:v>
                </c:pt>
                <c:pt idx="1">
                  <c:v>5</c:v>
                </c:pt>
                <c:pt idx="3">
                  <c:v>6</c:v>
                </c:pt>
                <c:pt idx="4">
                  <c:v>7</c:v>
                </c:pt>
              </c:numCache>
            </c:numRef>
          </c:val>
          <c:extLst>
            <c:ext xmlns:c16="http://schemas.microsoft.com/office/drawing/2014/chart" uri="{C3380CC4-5D6E-409C-BE32-E72D297353CC}">
              <c16:uniqueId val="{00000000-04E0-4A01-9D79-F540020850D4}"/>
            </c:ext>
          </c:extLst>
        </c:ser>
        <c:ser>
          <c:idx val="1"/>
          <c:order val="1"/>
          <c:tx>
            <c:strRef>
              <c:f>'Service Rating by Shift'!$C$3:$C$4</c:f>
              <c:strCache>
                <c:ptCount val="1"/>
                <c:pt idx="0">
                  <c:v>Night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'Service Rating by Shift'!$A$5:$A$10</c:f>
              <c:strCache>
                <c:ptCount val="5"/>
                <c:pt idx="0">
                  <c:v>Food and Beverage Service</c:v>
                </c:pt>
                <c:pt idx="1">
                  <c:v>Housekeeping services</c:v>
                </c:pt>
                <c:pt idx="2">
                  <c:v>Internet Services</c:v>
                </c:pt>
                <c:pt idx="3">
                  <c:v>Reception Service</c:v>
                </c:pt>
                <c:pt idx="4">
                  <c:v>Security Services</c:v>
                </c:pt>
              </c:strCache>
            </c:strRef>
          </c:cat>
          <c:val>
            <c:numRef>
              <c:f>'Service Rating by Shift'!$C$5:$C$10</c:f>
              <c:numCache>
                <c:formatCode>General</c:formatCode>
                <c:ptCount val="5"/>
                <c:pt idx="2">
                  <c:v>7</c:v>
                </c:pt>
              </c:numCache>
            </c:numRef>
          </c:val>
          <c:extLst>
            <c:ext xmlns:c16="http://schemas.microsoft.com/office/drawing/2014/chart" uri="{C3380CC4-5D6E-409C-BE32-E72D297353CC}">
              <c16:uniqueId val="{00000016-CF75-4687-A4CC-35F7695C04FC}"/>
            </c:ext>
          </c:extLst>
        </c:ser>
        <c:dLbls>
          <c:showLegendKey val="0"/>
          <c:showVal val="0"/>
          <c:showCatName val="0"/>
          <c:showSerName val="0"/>
          <c:showPercent val="0"/>
          <c:showBubbleSize val="0"/>
        </c:dLbls>
        <c:gapWidth val="315"/>
        <c:overlap val="-40"/>
        <c:axId val="309425583"/>
        <c:axId val="309429327"/>
      </c:barChart>
      <c:catAx>
        <c:axId val="309425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9327"/>
        <c:crosses val="autoZero"/>
        <c:auto val="1"/>
        <c:lblAlgn val="ctr"/>
        <c:lblOffset val="100"/>
        <c:noMultiLvlLbl val="0"/>
      </c:catAx>
      <c:valAx>
        <c:axId val="309429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Employee!PivotTable3</c:name>
    <c:fmtId val="4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'Service Rating by Employee'!$B$3:$B$4</c:f>
              <c:strCache>
                <c:ptCount val="1"/>
                <c:pt idx="0">
                  <c:v>Faiq</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Employee'!$B$5:$B$10</c:f>
              <c:numCache>
                <c:formatCode>General</c:formatCode>
                <c:ptCount val="5"/>
                <c:pt idx="2">
                  <c:v>7</c:v>
                </c:pt>
              </c:numCache>
            </c:numRef>
          </c:val>
          <c:extLst>
            <c:ext xmlns:c16="http://schemas.microsoft.com/office/drawing/2014/chart" uri="{C3380CC4-5D6E-409C-BE32-E72D297353CC}">
              <c16:uniqueId val="{00000000-503B-4FE9-BFF8-123AECB6A325}"/>
            </c:ext>
          </c:extLst>
        </c:ser>
        <c:ser>
          <c:idx val="1"/>
          <c:order val="1"/>
          <c:tx>
            <c:strRef>
              <c:f>'Service Rating by Employee'!$C$3:$C$4</c:f>
              <c:strCache>
                <c:ptCount val="1"/>
                <c:pt idx="0">
                  <c:v>Farah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Employee'!$C$5:$C$10</c:f>
              <c:numCache>
                <c:formatCode>General</c:formatCode>
                <c:ptCount val="5"/>
                <c:pt idx="3">
                  <c:v>6</c:v>
                </c:pt>
              </c:numCache>
            </c:numRef>
          </c:val>
          <c:extLst>
            <c:ext xmlns:c16="http://schemas.microsoft.com/office/drawing/2014/chart" uri="{C3380CC4-5D6E-409C-BE32-E72D297353CC}">
              <c16:uniqueId val="{00000125-2FE0-4E2C-B61F-A6457347CB6A}"/>
            </c:ext>
          </c:extLst>
        </c:ser>
        <c:ser>
          <c:idx val="2"/>
          <c:order val="2"/>
          <c:tx>
            <c:strRef>
              <c:f>'Service Rating by Employee'!$D$3:$D$4</c:f>
              <c:strCache>
                <c:ptCount val="1"/>
                <c:pt idx="0">
                  <c:v>Finas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Employee'!$D$5:$D$10</c:f>
              <c:numCache>
                <c:formatCode>General</c:formatCode>
                <c:ptCount val="5"/>
                <c:pt idx="4">
                  <c:v>7</c:v>
                </c:pt>
              </c:numCache>
            </c:numRef>
          </c:val>
          <c:extLst>
            <c:ext xmlns:c16="http://schemas.microsoft.com/office/drawing/2014/chart" uri="{C3380CC4-5D6E-409C-BE32-E72D297353CC}">
              <c16:uniqueId val="{0000012C-2FE0-4E2C-B61F-A6457347CB6A}"/>
            </c:ext>
          </c:extLst>
        </c:ser>
        <c:ser>
          <c:idx val="3"/>
          <c:order val="3"/>
          <c:tx>
            <c:strRef>
              <c:f>'Service Rating by Employee'!$E$3:$E$4</c:f>
              <c:strCache>
                <c:ptCount val="1"/>
                <c:pt idx="0">
                  <c:v>Nana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Employee'!$E$5:$E$10</c:f>
              <c:numCache>
                <c:formatCode>General</c:formatCode>
                <c:ptCount val="5"/>
                <c:pt idx="1">
                  <c:v>5</c:v>
                </c:pt>
              </c:numCache>
            </c:numRef>
          </c:val>
          <c:extLst>
            <c:ext xmlns:c16="http://schemas.microsoft.com/office/drawing/2014/chart" uri="{C3380CC4-5D6E-409C-BE32-E72D297353CC}">
              <c16:uniqueId val="{0000012D-2FE0-4E2C-B61F-A6457347CB6A}"/>
            </c:ext>
          </c:extLst>
        </c:ser>
        <c:ser>
          <c:idx val="4"/>
          <c:order val="4"/>
          <c:tx>
            <c:strRef>
              <c:f>'Service Rating by Employee'!$F$3:$F$4</c:f>
              <c:strCache>
                <c:ptCount val="1"/>
                <c:pt idx="0">
                  <c:v>Ryan</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Employee'!$F$5:$F$10</c:f>
              <c:numCache>
                <c:formatCode>General</c:formatCode>
                <c:ptCount val="5"/>
                <c:pt idx="0">
                  <c:v>7</c:v>
                </c:pt>
              </c:numCache>
            </c:numRef>
          </c:val>
          <c:extLst>
            <c:ext xmlns:c16="http://schemas.microsoft.com/office/drawing/2014/chart" uri="{C3380CC4-5D6E-409C-BE32-E72D297353CC}">
              <c16:uniqueId val="{0000012F-2FE0-4E2C-B61F-A6457347CB6A}"/>
            </c:ext>
          </c:extLst>
        </c:ser>
        <c:dLbls>
          <c:showLegendKey val="0"/>
          <c:showVal val="0"/>
          <c:showCatName val="0"/>
          <c:showSerName val="0"/>
          <c:showPercent val="0"/>
          <c:showBubbleSize val="0"/>
        </c:dLbls>
        <c:axId val="511877807"/>
        <c:axId val="511879055"/>
      </c:radarChart>
      <c:catAx>
        <c:axId val="511877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79055"/>
        <c:crosses val="autoZero"/>
        <c:auto val="1"/>
        <c:lblAlgn val="ctr"/>
        <c:lblOffset val="100"/>
        <c:noMultiLvlLbl val="0"/>
      </c:catAx>
      <c:valAx>
        <c:axId val="511879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8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Division!PivotTable5</c:name>
    <c:fmtId val="65"/>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'Service Rating by Division'!$B$3:$B$4</c:f>
              <c:strCache>
                <c:ptCount val="1"/>
                <c:pt idx="0">
                  <c:v>Food and Beverage Service</c:v>
                </c:pt>
              </c:strCache>
            </c:strRef>
          </c:tx>
          <c:spPr>
            <a:ln w="31750" cap="rnd" cmpd="sng" algn="ctr">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Division'!$B$5:$B$10</c:f>
              <c:numCache>
                <c:formatCode>General</c:formatCode>
                <c:ptCount val="5"/>
                <c:pt idx="0">
                  <c:v>7</c:v>
                </c:pt>
              </c:numCache>
            </c:numRef>
          </c:val>
          <c:smooth val="0"/>
          <c:extLst>
            <c:ext xmlns:c16="http://schemas.microsoft.com/office/drawing/2014/chart" uri="{C3380CC4-5D6E-409C-BE32-E72D297353CC}">
              <c16:uniqueId val="{00000000-56C6-4751-8B7E-8E00352D1867}"/>
            </c:ext>
          </c:extLst>
        </c:ser>
        <c:ser>
          <c:idx val="1"/>
          <c:order val="1"/>
          <c:tx>
            <c:strRef>
              <c:f>'Service Rating by Division'!$C$3:$C$4</c:f>
              <c:strCache>
                <c:ptCount val="1"/>
                <c:pt idx="0">
                  <c:v>Housekeeping services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Division'!$C$5:$C$10</c:f>
              <c:numCache>
                <c:formatCode>General</c:formatCode>
                <c:ptCount val="5"/>
                <c:pt idx="2">
                  <c:v>5</c:v>
                </c:pt>
              </c:numCache>
            </c:numRef>
          </c:val>
          <c:smooth val="0"/>
          <c:extLst>
            <c:ext xmlns:c16="http://schemas.microsoft.com/office/drawing/2014/chart" uri="{C3380CC4-5D6E-409C-BE32-E72D297353CC}">
              <c16:uniqueId val="{0000007B-5C5F-40B5-B873-6437CFBD5D69}"/>
            </c:ext>
          </c:extLst>
        </c:ser>
        <c:ser>
          <c:idx val="2"/>
          <c:order val="2"/>
          <c:tx>
            <c:strRef>
              <c:f>'Service Rating by Division'!$D$3:$D$4</c:f>
              <c:strCache>
                <c:ptCount val="1"/>
                <c:pt idx="0">
                  <c:v>Internet Services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Division'!$D$5:$D$10</c:f>
              <c:numCache>
                <c:formatCode>General</c:formatCode>
                <c:ptCount val="5"/>
                <c:pt idx="3">
                  <c:v>7</c:v>
                </c:pt>
              </c:numCache>
            </c:numRef>
          </c:val>
          <c:smooth val="0"/>
          <c:extLst>
            <c:ext xmlns:c16="http://schemas.microsoft.com/office/drawing/2014/chart" uri="{C3380CC4-5D6E-409C-BE32-E72D297353CC}">
              <c16:uniqueId val="{00000080-5C5F-40B5-B873-6437CFBD5D69}"/>
            </c:ext>
          </c:extLst>
        </c:ser>
        <c:ser>
          <c:idx val="3"/>
          <c:order val="3"/>
          <c:tx>
            <c:strRef>
              <c:f>'Service Rating by Division'!$E$3:$E$4</c:f>
              <c:strCache>
                <c:ptCount val="1"/>
                <c:pt idx="0">
                  <c:v>Reception Service</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Division'!$E$5:$E$10</c:f>
              <c:numCache>
                <c:formatCode>General</c:formatCode>
                <c:ptCount val="5"/>
                <c:pt idx="1">
                  <c:v>6</c:v>
                </c:pt>
              </c:numCache>
            </c:numRef>
          </c:val>
          <c:smooth val="0"/>
          <c:extLst>
            <c:ext xmlns:c16="http://schemas.microsoft.com/office/drawing/2014/chart" uri="{C3380CC4-5D6E-409C-BE32-E72D297353CC}">
              <c16:uniqueId val="{00000081-5C5F-40B5-B873-6437CFBD5D69}"/>
            </c:ext>
          </c:extLst>
        </c:ser>
        <c:ser>
          <c:idx val="4"/>
          <c:order val="4"/>
          <c:tx>
            <c:strRef>
              <c:f>'Service Rating by Division'!$F$3:$F$4</c:f>
              <c:strCache>
                <c:ptCount val="1"/>
                <c:pt idx="0">
                  <c:v>Security Services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Division'!$F$5:$F$10</c:f>
              <c:numCache>
                <c:formatCode>General</c:formatCode>
                <c:ptCount val="5"/>
                <c:pt idx="4">
                  <c:v>7</c:v>
                </c:pt>
              </c:numCache>
            </c:numRef>
          </c:val>
          <c:smooth val="0"/>
          <c:extLst>
            <c:ext xmlns:c16="http://schemas.microsoft.com/office/drawing/2014/chart" uri="{C3380CC4-5D6E-409C-BE32-E72D297353CC}">
              <c16:uniqueId val="{00000083-5C5F-40B5-B873-6437CFBD5D69}"/>
            </c:ext>
          </c:extLst>
        </c:ser>
        <c:dLbls>
          <c:dLblPos val="ctr"/>
          <c:showLegendKey val="0"/>
          <c:showVal val="1"/>
          <c:showCatName val="0"/>
          <c:showSerName val="0"/>
          <c:showPercent val="0"/>
          <c:showBubbleSize val="0"/>
        </c:dLbls>
        <c:marker val="1"/>
        <c:smooth val="0"/>
        <c:axId val="577617727"/>
        <c:axId val="577637279"/>
      </c:lineChart>
      <c:catAx>
        <c:axId val="57761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7637279"/>
        <c:crosses val="autoZero"/>
        <c:auto val="1"/>
        <c:lblAlgn val="ctr"/>
        <c:lblOffset val="100"/>
        <c:noMultiLvlLbl val="0"/>
      </c:catAx>
      <c:valAx>
        <c:axId val="5776372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7617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Supervisor!PivotTable4</c:name>
    <c:fmtId val="123"/>
  </c:pivotSource>
  <c:chart>
    <c:autoTitleDeleted val="0"/>
    <c:pivotFmts>
      <c:pivotFmt>
        <c:idx val="0"/>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2">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3">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'Service Rating by Supervisor'!$B$3:$B$4</c:f>
              <c:strCache>
                <c:ptCount val="1"/>
                <c:pt idx="0">
                  <c:v>Aira</c:v>
                </c:pt>
              </c:strCache>
            </c:strRef>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Supervisor'!$B$5:$B$10</c:f>
              <c:numCache>
                <c:formatCode>General</c:formatCode>
                <c:ptCount val="5"/>
                <c:pt idx="3">
                  <c:v>6</c:v>
                </c:pt>
              </c:numCache>
            </c:numRef>
          </c:val>
          <c:extLst>
            <c:ext xmlns:c16="http://schemas.microsoft.com/office/drawing/2014/chart" uri="{C3380CC4-5D6E-409C-BE32-E72D297353CC}">
              <c16:uniqueId val="{00000000-D12E-42DD-AFBD-88EEA8744EC0}"/>
            </c:ext>
          </c:extLst>
        </c:ser>
        <c:ser>
          <c:idx val="1"/>
          <c:order val="1"/>
          <c:tx>
            <c:strRef>
              <c:f>'Service Rating by Supervisor'!$C$3:$C$4</c:f>
              <c:strCache>
                <c:ptCount val="1"/>
                <c:pt idx="0">
                  <c:v>Husna</c:v>
                </c:pt>
              </c:strCache>
            </c:strRef>
          </c:tx>
          <c:spPr>
            <a:solidFill>
              <a:schemeClr val="accent2">
                <a:alpha val="74000"/>
              </a:schemeClr>
            </a:solidFill>
            <a:ln w="25400">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Supervisor'!$C$5:$C$10</c:f>
              <c:numCache>
                <c:formatCode>General</c:formatCode>
                <c:ptCount val="5"/>
                <c:pt idx="1">
                  <c:v>5</c:v>
                </c:pt>
              </c:numCache>
            </c:numRef>
          </c:val>
          <c:extLst>
            <c:ext xmlns:c16="http://schemas.microsoft.com/office/drawing/2014/chart" uri="{C3380CC4-5D6E-409C-BE32-E72D297353CC}">
              <c16:uniqueId val="{0000007D-6EA1-4F0E-941A-844685CEE305}"/>
            </c:ext>
          </c:extLst>
        </c:ser>
        <c:ser>
          <c:idx val="2"/>
          <c:order val="2"/>
          <c:tx>
            <c:strRef>
              <c:f>'Service Rating by Supervisor'!$D$3:$D$4</c:f>
              <c:strCache>
                <c:ptCount val="1"/>
                <c:pt idx="0">
                  <c:v>Rahman</c:v>
                </c:pt>
              </c:strCache>
            </c:strRef>
          </c:tx>
          <c:spPr>
            <a:solidFill>
              <a:schemeClr val="accent3">
                <a:alpha val="74000"/>
              </a:schemeClr>
            </a:solidFill>
            <a:ln w="25400">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Supervisor'!$D$5:$D$10</c:f>
              <c:numCache>
                <c:formatCode>General</c:formatCode>
                <c:ptCount val="5"/>
                <c:pt idx="0">
                  <c:v>7</c:v>
                </c:pt>
              </c:numCache>
            </c:numRef>
          </c:val>
          <c:extLst>
            <c:ext xmlns:c16="http://schemas.microsoft.com/office/drawing/2014/chart" uri="{C3380CC4-5D6E-409C-BE32-E72D297353CC}">
              <c16:uniqueId val="{00000082-6EA1-4F0E-941A-844685CEE305}"/>
            </c:ext>
          </c:extLst>
        </c:ser>
        <c:ser>
          <c:idx val="3"/>
          <c:order val="3"/>
          <c:tx>
            <c:strRef>
              <c:f>'Service Rating by Supervisor'!$E$3:$E$4</c:f>
              <c:strCache>
                <c:ptCount val="1"/>
                <c:pt idx="0">
                  <c:v>Syirah</c:v>
                </c:pt>
              </c:strCache>
            </c:strRef>
          </c:tx>
          <c:spPr>
            <a:solidFill>
              <a:schemeClr val="accent4">
                <a:alpha val="74000"/>
              </a:schemeClr>
            </a:solidFill>
            <a:ln w="25400">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Supervisor'!$E$5:$E$10</c:f>
              <c:numCache>
                <c:formatCode>General</c:formatCode>
                <c:ptCount val="5"/>
                <c:pt idx="2">
                  <c:v>7</c:v>
                </c:pt>
              </c:numCache>
            </c:numRef>
          </c:val>
          <c:extLst>
            <c:ext xmlns:c16="http://schemas.microsoft.com/office/drawing/2014/chart" uri="{C3380CC4-5D6E-409C-BE32-E72D297353CC}">
              <c16:uniqueId val="{00000083-6EA1-4F0E-941A-844685CEE305}"/>
            </c:ext>
          </c:extLst>
        </c:ser>
        <c:ser>
          <c:idx val="4"/>
          <c:order val="4"/>
          <c:tx>
            <c:strRef>
              <c:f>'Service Rating by Supervisor'!$F$3:$F$4</c:f>
              <c:strCache>
                <c:ptCount val="1"/>
                <c:pt idx="0">
                  <c:v>Wahid</c:v>
                </c:pt>
              </c:strCache>
            </c:strRef>
          </c:tx>
          <c:spPr>
            <a:solidFill>
              <a:schemeClr val="accent5">
                <a:alpha val="74000"/>
              </a:schemeClr>
            </a:solidFill>
            <a:ln w="25400">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Supervisor'!$F$5:$F$10</c:f>
              <c:numCache>
                <c:formatCode>General</c:formatCode>
                <c:ptCount val="5"/>
                <c:pt idx="4">
                  <c:v>7</c:v>
                </c:pt>
              </c:numCache>
            </c:numRef>
          </c:val>
          <c:extLst>
            <c:ext xmlns:c16="http://schemas.microsoft.com/office/drawing/2014/chart" uri="{C3380CC4-5D6E-409C-BE32-E72D297353CC}">
              <c16:uniqueId val="{00000085-6EA1-4F0E-941A-844685CEE305}"/>
            </c:ext>
          </c:extLst>
        </c:ser>
        <c:dLbls>
          <c:showLegendKey val="0"/>
          <c:showVal val="1"/>
          <c:showCatName val="0"/>
          <c:showSerName val="0"/>
          <c:showPercent val="0"/>
          <c:showBubbleSize val="0"/>
        </c:dLbls>
        <c:axId val="450251455"/>
        <c:axId val="450253119"/>
      </c:areaChart>
      <c:catAx>
        <c:axId val="4502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0253119"/>
        <c:crosses val="autoZero"/>
        <c:auto val="1"/>
        <c:lblAlgn val="ctr"/>
        <c:lblOffset val="100"/>
        <c:noMultiLvlLbl val="0"/>
      </c:catAx>
      <c:valAx>
        <c:axId val="4502531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50251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Intelligent1.xlsx]ServiceRatingByDate!PivotTable4</c:name>
    <c:fmtId val="5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ServiceRatingByDate!$B$3:$B$5</c:f>
              <c:strCache>
                <c:ptCount val="1"/>
                <c:pt idx="0">
                  <c:v>2019 - Apr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ServiceRatingByDate!$B$6:$B$11</c:f>
              <c:numCache>
                <c:formatCode>General</c:formatCode>
                <c:ptCount val="5"/>
                <c:pt idx="2">
                  <c:v>5</c:v>
                </c:pt>
              </c:numCache>
            </c:numRef>
          </c:val>
          <c:extLst>
            <c:ext xmlns:c16="http://schemas.microsoft.com/office/drawing/2014/chart" uri="{C3380CC4-5D6E-409C-BE32-E72D297353CC}">
              <c16:uniqueId val="{00000000-66DA-4741-A061-67F2FA1C3140}"/>
            </c:ext>
          </c:extLst>
        </c:ser>
        <c:ser>
          <c:idx val="1"/>
          <c:order val="1"/>
          <c:tx>
            <c:strRef>
              <c:f>ServiceRatingByDate!$C$3:$C$5</c:f>
              <c:strCache>
                <c:ptCount val="1"/>
                <c:pt idx="0">
                  <c:v>2019 - Oct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ServiceRatingByDate!$C$6:$C$11</c:f>
              <c:numCache>
                <c:formatCode>General</c:formatCode>
                <c:ptCount val="5"/>
                <c:pt idx="0">
                  <c:v>7</c:v>
                </c:pt>
                <c:pt idx="3">
                  <c:v>7</c:v>
                </c:pt>
                <c:pt idx="4">
                  <c:v>7</c:v>
                </c:pt>
              </c:numCache>
            </c:numRef>
          </c:val>
          <c:extLst>
            <c:ext xmlns:c16="http://schemas.microsoft.com/office/drawing/2014/chart" uri="{C3380CC4-5D6E-409C-BE32-E72D297353CC}">
              <c16:uniqueId val="{000000A9-6994-4185-B73B-8FC4453652B2}"/>
            </c:ext>
          </c:extLst>
        </c:ser>
        <c:ser>
          <c:idx val="2"/>
          <c:order val="2"/>
          <c:tx>
            <c:strRef>
              <c:f>ServiceRatingByDate!$D$3:$D$5</c:f>
              <c:strCache>
                <c:ptCount val="1"/>
                <c:pt idx="0">
                  <c:v>2019 - Nov</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ServiceRatingByDate!$D$6:$D$11</c:f>
              <c:numCache>
                <c:formatCode>General</c:formatCode>
                <c:ptCount val="5"/>
                <c:pt idx="1">
                  <c:v>6</c:v>
                </c:pt>
              </c:numCache>
            </c:numRef>
          </c:val>
          <c:extLst>
            <c:ext xmlns:c16="http://schemas.microsoft.com/office/drawing/2014/chart" uri="{C3380CC4-5D6E-409C-BE32-E72D297353CC}">
              <c16:uniqueId val="{000000AA-6994-4185-B73B-8FC4453652B2}"/>
            </c:ext>
          </c:extLst>
        </c:ser>
        <c:dLbls>
          <c:dLblPos val="ctr"/>
          <c:showLegendKey val="0"/>
          <c:showVal val="1"/>
          <c:showCatName val="0"/>
          <c:showSerName val="0"/>
          <c:showPercent val="0"/>
          <c:showBubbleSize val="0"/>
        </c:dLbls>
        <c:gapWidth val="79"/>
        <c:overlap val="100"/>
        <c:axId val="12717008"/>
        <c:axId val="12717424"/>
      </c:barChart>
      <c:catAx>
        <c:axId val="1271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17424"/>
        <c:crosses val="autoZero"/>
        <c:auto val="1"/>
        <c:lblAlgn val="ctr"/>
        <c:lblOffset val="100"/>
        <c:noMultiLvlLbl val="0"/>
      </c:catAx>
      <c:valAx>
        <c:axId val="12717424"/>
        <c:scaling>
          <c:orientation val="minMax"/>
        </c:scaling>
        <c:delete val="1"/>
        <c:axPos val="b"/>
        <c:numFmt formatCode="General" sourceLinked="1"/>
        <c:majorTickMark val="none"/>
        <c:minorTickMark val="none"/>
        <c:tickLblPos val="nextTo"/>
        <c:crossAx val="1271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Intelligent1.xlsx]NumberOfHoursWorkedperEmployee!PivotTable5</c:name>
    <c:fmtId val="67"/>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NumberOfHoursWorkedperEmployee!$B$3:$B$4</c:f>
              <c:strCache>
                <c:ptCount val="1"/>
                <c:pt idx="0">
                  <c:v>Morning</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NumberOfHoursWorkedperEmployee!$A$5:$A$10</c:f>
              <c:strCache>
                <c:ptCount val="5"/>
                <c:pt idx="0">
                  <c:v>Faiq</c:v>
                </c:pt>
                <c:pt idx="1">
                  <c:v>Farah</c:v>
                </c:pt>
                <c:pt idx="2">
                  <c:v>Finas</c:v>
                </c:pt>
                <c:pt idx="3">
                  <c:v>Nana</c:v>
                </c:pt>
                <c:pt idx="4">
                  <c:v>Ryan</c:v>
                </c:pt>
              </c:strCache>
            </c:strRef>
          </c:cat>
          <c:val>
            <c:numRef>
              <c:f>NumberOfHoursWorkedperEmployee!$B$5:$B$10</c:f>
              <c:numCache>
                <c:formatCode>General</c:formatCode>
                <c:ptCount val="5"/>
                <c:pt idx="1">
                  <c:v>8</c:v>
                </c:pt>
                <c:pt idx="2">
                  <c:v>8</c:v>
                </c:pt>
                <c:pt idx="3">
                  <c:v>8</c:v>
                </c:pt>
                <c:pt idx="4">
                  <c:v>8</c:v>
                </c:pt>
              </c:numCache>
            </c:numRef>
          </c:val>
          <c:smooth val="0"/>
          <c:extLst>
            <c:ext xmlns:c16="http://schemas.microsoft.com/office/drawing/2014/chart" uri="{C3380CC4-5D6E-409C-BE32-E72D297353CC}">
              <c16:uniqueId val="{00000000-A7A8-40E7-A9F7-A5722A1887FF}"/>
            </c:ext>
          </c:extLst>
        </c:ser>
        <c:ser>
          <c:idx val="1"/>
          <c:order val="1"/>
          <c:tx>
            <c:strRef>
              <c:f>NumberOfHoursWorkedperEmployee!$C$3:$C$4</c:f>
              <c:strCache>
                <c:ptCount val="1"/>
                <c:pt idx="0">
                  <c:v>Night</c:v>
                </c:pt>
              </c:strCache>
            </c:strRef>
          </c:tx>
          <c:spPr>
            <a:ln w="31750" cap="rnd" cmpd="sng" algn="ctr">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NumberOfHoursWorkedperEmployee!$A$5:$A$10</c:f>
              <c:strCache>
                <c:ptCount val="5"/>
                <c:pt idx="0">
                  <c:v>Faiq</c:v>
                </c:pt>
                <c:pt idx="1">
                  <c:v>Farah</c:v>
                </c:pt>
                <c:pt idx="2">
                  <c:v>Finas</c:v>
                </c:pt>
                <c:pt idx="3">
                  <c:v>Nana</c:v>
                </c:pt>
                <c:pt idx="4">
                  <c:v>Ryan</c:v>
                </c:pt>
              </c:strCache>
            </c:strRef>
          </c:cat>
          <c:val>
            <c:numRef>
              <c:f>NumberOfHoursWorkedperEmployee!$C$5:$C$10</c:f>
              <c:numCache>
                <c:formatCode>General</c:formatCode>
                <c:ptCount val="5"/>
                <c:pt idx="0">
                  <c:v>8</c:v>
                </c:pt>
              </c:numCache>
            </c:numRef>
          </c:val>
          <c:smooth val="0"/>
          <c:extLst>
            <c:ext xmlns:c16="http://schemas.microsoft.com/office/drawing/2014/chart" uri="{C3380CC4-5D6E-409C-BE32-E72D297353CC}">
              <c16:uniqueId val="{00000016-8F0D-4EA3-B300-4288C263E06B}"/>
            </c:ext>
          </c:extLst>
        </c:ser>
        <c:dLbls>
          <c:dLblPos val="ctr"/>
          <c:showLegendKey val="0"/>
          <c:showVal val="1"/>
          <c:showCatName val="0"/>
          <c:showSerName val="0"/>
          <c:showPercent val="0"/>
          <c:showBubbleSize val="0"/>
        </c:dLbls>
        <c:marker val="1"/>
        <c:smooth val="0"/>
        <c:axId val="15734672"/>
        <c:axId val="15735088"/>
      </c:lineChart>
      <c:catAx>
        <c:axId val="15734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35088"/>
        <c:crosses val="autoZero"/>
        <c:auto val="1"/>
        <c:lblAlgn val="ctr"/>
        <c:lblOffset val="100"/>
        <c:noMultiLvlLbl val="0"/>
      </c:catAx>
      <c:valAx>
        <c:axId val="15735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34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Shift!PivotTable2</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 Rating by Shift'!$B$3:$B$4</c:f>
              <c:strCache>
                <c:ptCount val="1"/>
                <c:pt idx="0">
                  <c:v>Morning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'Service Rating by Shift'!$A$5:$A$10</c:f>
              <c:strCache>
                <c:ptCount val="5"/>
                <c:pt idx="0">
                  <c:v>Food and Beverage Service</c:v>
                </c:pt>
                <c:pt idx="1">
                  <c:v>Housekeeping services</c:v>
                </c:pt>
                <c:pt idx="2">
                  <c:v>Internet Services</c:v>
                </c:pt>
                <c:pt idx="3">
                  <c:v>Reception Service</c:v>
                </c:pt>
                <c:pt idx="4">
                  <c:v>Security Services</c:v>
                </c:pt>
              </c:strCache>
            </c:strRef>
          </c:cat>
          <c:val>
            <c:numRef>
              <c:f>'Service Rating by Shift'!$B$5:$B$10</c:f>
              <c:numCache>
                <c:formatCode>General</c:formatCode>
                <c:ptCount val="5"/>
                <c:pt idx="0">
                  <c:v>7</c:v>
                </c:pt>
                <c:pt idx="1">
                  <c:v>5</c:v>
                </c:pt>
                <c:pt idx="3">
                  <c:v>6</c:v>
                </c:pt>
                <c:pt idx="4">
                  <c:v>7</c:v>
                </c:pt>
              </c:numCache>
            </c:numRef>
          </c:val>
          <c:extLst>
            <c:ext xmlns:c16="http://schemas.microsoft.com/office/drawing/2014/chart" uri="{C3380CC4-5D6E-409C-BE32-E72D297353CC}">
              <c16:uniqueId val="{00000000-FD5E-44D5-9F8A-32B9EB2A1B3F}"/>
            </c:ext>
          </c:extLst>
        </c:ser>
        <c:ser>
          <c:idx val="1"/>
          <c:order val="1"/>
          <c:tx>
            <c:strRef>
              <c:f>'Service Rating by Shift'!$C$3:$C$4</c:f>
              <c:strCache>
                <c:ptCount val="1"/>
                <c:pt idx="0">
                  <c:v>Night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'Service Rating by Shift'!$A$5:$A$10</c:f>
              <c:strCache>
                <c:ptCount val="5"/>
                <c:pt idx="0">
                  <c:v>Food and Beverage Service</c:v>
                </c:pt>
                <c:pt idx="1">
                  <c:v>Housekeeping services</c:v>
                </c:pt>
                <c:pt idx="2">
                  <c:v>Internet Services</c:v>
                </c:pt>
                <c:pt idx="3">
                  <c:v>Reception Service</c:v>
                </c:pt>
                <c:pt idx="4">
                  <c:v>Security Services</c:v>
                </c:pt>
              </c:strCache>
            </c:strRef>
          </c:cat>
          <c:val>
            <c:numRef>
              <c:f>'Service Rating by Shift'!$C$5:$C$10</c:f>
              <c:numCache>
                <c:formatCode>General</c:formatCode>
                <c:ptCount val="5"/>
                <c:pt idx="2">
                  <c:v>7</c:v>
                </c:pt>
              </c:numCache>
            </c:numRef>
          </c:val>
          <c:extLst>
            <c:ext xmlns:c16="http://schemas.microsoft.com/office/drawing/2014/chart" uri="{C3380CC4-5D6E-409C-BE32-E72D297353CC}">
              <c16:uniqueId val="{00000016-D6E0-4713-8982-5E75C71C7283}"/>
            </c:ext>
          </c:extLst>
        </c:ser>
        <c:dLbls>
          <c:showLegendKey val="0"/>
          <c:showVal val="0"/>
          <c:showCatName val="0"/>
          <c:showSerName val="0"/>
          <c:showPercent val="0"/>
          <c:showBubbleSize val="0"/>
        </c:dLbls>
        <c:gapWidth val="315"/>
        <c:overlap val="-40"/>
        <c:axId val="309425583"/>
        <c:axId val="309429327"/>
      </c:barChart>
      <c:catAx>
        <c:axId val="309425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9327"/>
        <c:crosses val="autoZero"/>
        <c:auto val="1"/>
        <c:lblAlgn val="ctr"/>
        <c:lblOffset val="100"/>
        <c:noMultiLvlLbl val="0"/>
      </c:catAx>
      <c:valAx>
        <c:axId val="309429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Employee!PivotTable3</c:name>
    <c:fmtId val="47"/>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'Service Rating by Employee'!$B$3:$B$4</c:f>
              <c:strCache>
                <c:ptCount val="1"/>
                <c:pt idx="0">
                  <c:v>Faiq</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Employee'!$B$5:$B$10</c:f>
              <c:numCache>
                <c:formatCode>General</c:formatCode>
                <c:ptCount val="5"/>
                <c:pt idx="2">
                  <c:v>7</c:v>
                </c:pt>
              </c:numCache>
            </c:numRef>
          </c:val>
          <c:extLst>
            <c:ext xmlns:c16="http://schemas.microsoft.com/office/drawing/2014/chart" uri="{C3380CC4-5D6E-409C-BE32-E72D297353CC}">
              <c16:uniqueId val="{00000000-478E-4F6C-9E88-755298F53F86}"/>
            </c:ext>
          </c:extLst>
        </c:ser>
        <c:ser>
          <c:idx val="1"/>
          <c:order val="1"/>
          <c:tx>
            <c:strRef>
              <c:f>'Service Rating by Employee'!$C$3:$C$4</c:f>
              <c:strCache>
                <c:ptCount val="1"/>
                <c:pt idx="0">
                  <c:v>Farah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Employee'!$C$5:$C$10</c:f>
              <c:numCache>
                <c:formatCode>General</c:formatCode>
                <c:ptCount val="5"/>
                <c:pt idx="3">
                  <c:v>6</c:v>
                </c:pt>
              </c:numCache>
            </c:numRef>
          </c:val>
          <c:extLst>
            <c:ext xmlns:c16="http://schemas.microsoft.com/office/drawing/2014/chart" uri="{C3380CC4-5D6E-409C-BE32-E72D297353CC}">
              <c16:uniqueId val="{00000125-1769-4409-A2C5-EEA9BC0C211D}"/>
            </c:ext>
          </c:extLst>
        </c:ser>
        <c:ser>
          <c:idx val="2"/>
          <c:order val="2"/>
          <c:tx>
            <c:strRef>
              <c:f>'Service Rating by Employee'!$D$3:$D$4</c:f>
              <c:strCache>
                <c:ptCount val="1"/>
                <c:pt idx="0">
                  <c:v>Finas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Employee'!$D$5:$D$10</c:f>
              <c:numCache>
                <c:formatCode>General</c:formatCode>
                <c:ptCount val="5"/>
                <c:pt idx="4">
                  <c:v>7</c:v>
                </c:pt>
              </c:numCache>
            </c:numRef>
          </c:val>
          <c:extLst>
            <c:ext xmlns:c16="http://schemas.microsoft.com/office/drawing/2014/chart" uri="{C3380CC4-5D6E-409C-BE32-E72D297353CC}">
              <c16:uniqueId val="{0000012C-1769-4409-A2C5-EEA9BC0C211D}"/>
            </c:ext>
          </c:extLst>
        </c:ser>
        <c:ser>
          <c:idx val="3"/>
          <c:order val="3"/>
          <c:tx>
            <c:strRef>
              <c:f>'Service Rating by Employee'!$E$3:$E$4</c:f>
              <c:strCache>
                <c:ptCount val="1"/>
                <c:pt idx="0">
                  <c:v>Nana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Employee'!$E$5:$E$10</c:f>
              <c:numCache>
                <c:formatCode>General</c:formatCode>
                <c:ptCount val="5"/>
                <c:pt idx="1">
                  <c:v>5</c:v>
                </c:pt>
              </c:numCache>
            </c:numRef>
          </c:val>
          <c:extLst>
            <c:ext xmlns:c16="http://schemas.microsoft.com/office/drawing/2014/chart" uri="{C3380CC4-5D6E-409C-BE32-E72D297353CC}">
              <c16:uniqueId val="{0000012D-1769-4409-A2C5-EEA9BC0C211D}"/>
            </c:ext>
          </c:extLst>
        </c:ser>
        <c:ser>
          <c:idx val="4"/>
          <c:order val="4"/>
          <c:tx>
            <c:strRef>
              <c:f>'Service Rating by Employee'!$F$3:$F$4</c:f>
              <c:strCache>
                <c:ptCount val="1"/>
                <c:pt idx="0">
                  <c:v>Ryan</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'Service Rating by Employee'!$A$5:$A$10</c:f>
              <c:strCache>
                <c:ptCount val="5"/>
                <c:pt idx="0">
                  <c:v>Food and Beverage Service</c:v>
                </c:pt>
                <c:pt idx="1">
                  <c:v>Housekeeping services</c:v>
                </c:pt>
                <c:pt idx="2">
                  <c:v>Internet Services</c:v>
                </c:pt>
                <c:pt idx="3">
                  <c:v>Reception Service</c:v>
                </c:pt>
                <c:pt idx="4">
                  <c:v>Security Services</c:v>
                </c:pt>
              </c:strCache>
            </c:strRef>
          </c:cat>
          <c:val>
            <c:numRef>
              <c:f>'Service Rating by Employee'!$F$5:$F$10</c:f>
              <c:numCache>
                <c:formatCode>General</c:formatCode>
                <c:ptCount val="5"/>
                <c:pt idx="0">
                  <c:v>7</c:v>
                </c:pt>
              </c:numCache>
            </c:numRef>
          </c:val>
          <c:extLst>
            <c:ext xmlns:c16="http://schemas.microsoft.com/office/drawing/2014/chart" uri="{C3380CC4-5D6E-409C-BE32-E72D297353CC}">
              <c16:uniqueId val="{0000012F-1769-4409-A2C5-EEA9BC0C211D}"/>
            </c:ext>
          </c:extLst>
        </c:ser>
        <c:dLbls>
          <c:showLegendKey val="0"/>
          <c:showVal val="0"/>
          <c:showCatName val="0"/>
          <c:showSerName val="0"/>
          <c:showPercent val="0"/>
          <c:showBubbleSize val="0"/>
        </c:dLbls>
        <c:axId val="511877807"/>
        <c:axId val="511879055"/>
      </c:radarChart>
      <c:catAx>
        <c:axId val="511877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79055"/>
        <c:crosses val="autoZero"/>
        <c:auto val="1"/>
        <c:lblAlgn val="ctr"/>
        <c:lblOffset val="100"/>
        <c:noMultiLvlLbl val="0"/>
      </c:catAx>
      <c:valAx>
        <c:axId val="511879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8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Supervisor!PivotTable4</c:name>
    <c:fmtId val="117"/>
  </c:pivotSource>
  <c:chart>
    <c:autoTitleDeleted val="0"/>
    <c:pivotFmts>
      <c:pivotFmt>
        <c:idx val="0"/>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'Service Rating by Supervisor'!$B$3:$B$4</c:f>
              <c:strCache>
                <c:ptCount val="1"/>
                <c:pt idx="0">
                  <c:v>Aira</c:v>
                </c:pt>
              </c:strCache>
            </c:strRef>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Supervisor'!$B$5:$B$10</c:f>
              <c:numCache>
                <c:formatCode>General</c:formatCode>
                <c:ptCount val="5"/>
                <c:pt idx="3">
                  <c:v>6</c:v>
                </c:pt>
              </c:numCache>
            </c:numRef>
          </c:val>
          <c:extLst>
            <c:ext xmlns:c16="http://schemas.microsoft.com/office/drawing/2014/chart" uri="{C3380CC4-5D6E-409C-BE32-E72D297353CC}">
              <c16:uniqueId val="{00000000-35DA-4055-99CD-873E5885ED10}"/>
            </c:ext>
          </c:extLst>
        </c:ser>
        <c:ser>
          <c:idx val="1"/>
          <c:order val="1"/>
          <c:tx>
            <c:strRef>
              <c:f>'Service Rating by Supervisor'!$C$3:$C$4</c:f>
              <c:strCache>
                <c:ptCount val="1"/>
                <c:pt idx="0">
                  <c:v>Husna</c:v>
                </c:pt>
              </c:strCache>
            </c:strRef>
          </c:tx>
          <c:spPr>
            <a:solidFill>
              <a:schemeClr val="accent2">
                <a:alpha val="74000"/>
              </a:schemeClr>
            </a:solidFill>
            <a:ln w="25400">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Supervisor'!$C$5:$C$10</c:f>
              <c:numCache>
                <c:formatCode>General</c:formatCode>
                <c:ptCount val="5"/>
                <c:pt idx="1">
                  <c:v>5</c:v>
                </c:pt>
              </c:numCache>
            </c:numRef>
          </c:val>
          <c:extLst>
            <c:ext xmlns:c16="http://schemas.microsoft.com/office/drawing/2014/chart" uri="{C3380CC4-5D6E-409C-BE32-E72D297353CC}">
              <c16:uniqueId val="{0000007D-3FDF-491F-8872-A91AA318C83F}"/>
            </c:ext>
          </c:extLst>
        </c:ser>
        <c:ser>
          <c:idx val="2"/>
          <c:order val="2"/>
          <c:tx>
            <c:strRef>
              <c:f>'Service Rating by Supervisor'!$D$3:$D$4</c:f>
              <c:strCache>
                <c:ptCount val="1"/>
                <c:pt idx="0">
                  <c:v>Rahman</c:v>
                </c:pt>
              </c:strCache>
            </c:strRef>
          </c:tx>
          <c:spPr>
            <a:solidFill>
              <a:schemeClr val="accent3">
                <a:alpha val="74000"/>
              </a:schemeClr>
            </a:solidFill>
            <a:ln w="25400">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Supervisor'!$D$5:$D$10</c:f>
              <c:numCache>
                <c:formatCode>General</c:formatCode>
                <c:ptCount val="5"/>
                <c:pt idx="0">
                  <c:v>7</c:v>
                </c:pt>
              </c:numCache>
            </c:numRef>
          </c:val>
          <c:extLst>
            <c:ext xmlns:c16="http://schemas.microsoft.com/office/drawing/2014/chart" uri="{C3380CC4-5D6E-409C-BE32-E72D297353CC}">
              <c16:uniqueId val="{00000082-3FDF-491F-8872-A91AA318C83F}"/>
            </c:ext>
          </c:extLst>
        </c:ser>
        <c:ser>
          <c:idx val="3"/>
          <c:order val="3"/>
          <c:tx>
            <c:strRef>
              <c:f>'Service Rating by Supervisor'!$E$3:$E$4</c:f>
              <c:strCache>
                <c:ptCount val="1"/>
                <c:pt idx="0">
                  <c:v>Syirah</c:v>
                </c:pt>
              </c:strCache>
            </c:strRef>
          </c:tx>
          <c:spPr>
            <a:solidFill>
              <a:schemeClr val="accent4">
                <a:alpha val="74000"/>
              </a:schemeClr>
            </a:solidFill>
            <a:ln w="25400">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Supervisor'!$E$5:$E$10</c:f>
              <c:numCache>
                <c:formatCode>General</c:formatCode>
                <c:ptCount val="5"/>
                <c:pt idx="2">
                  <c:v>7</c:v>
                </c:pt>
              </c:numCache>
            </c:numRef>
          </c:val>
          <c:extLst>
            <c:ext xmlns:c16="http://schemas.microsoft.com/office/drawing/2014/chart" uri="{C3380CC4-5D6E-409C-BE32-E72D297353CC}">
              <c16:uniqueId val="{00000083-3FDF-491F-8872-A91AA318C83F}"/>
            </c:ext>
          </c:extLst>
        </c:ser>
        <c:ser>
          <c:idx val="4"/>
          <c:order val="4"/>
          <c:tx>
            <c:strRef>
              <c:f>'Service Rating by Supervisor'!$F$3:$F$4</c:f>
              <c:strCache>
                <c:ptCount val="1"/>
                <c:pt idx="0">
                  <c:v>Wahid</c:v>
                </c:pt>
              </c:strCache>
            </c:strRef>
          </c:tx>
          <c:spPr>
            <a:solidFill>
              <a:schemeClr val="accent5">
                <a:alpha val="74000"/>
              </a:schemeClr>
            </a:solidFill>
            <a:ln w="25400">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Supervisor'!$A$5:$A$10</c:f>
              <c:strCache>
                <c:ptCount val="5"/>
                <c:pt idx="0">
                  <c:v>Food and Beverage Service</c:v>
                </c:pt>
                <c:pt idx="1">
                  <c:v>Housekeeping services</c:v>
                </c:pt>
                <c:pt idx="2">
                  <c:v>Internet Services</c:v>
                </c:pt>
                <c:pt idx="3">
                  <c:v>Reception Service</c:v>
                </c:pt>
                <c:pt idx="4">
                  <c:v>Security Services</c:v>
                </c:pt>
              </c:strCache>
            </c:strRef>
          </c:cat>
          <c:val>
            <c:numRef>
              <c:f>'Service Rating by Supervisor'!$F$5:$F$10</c:f>
              <c:numCache>
                <c:formatCode>General</c:formatCode>
                <c:ptCount val="5"/>
                <c:pt idx="4">
                  <c:v>7</c:v>
                </c:pt>
              </c:numCache>
            </c:numRef>
          </c:val>
          <c:extLst>
            <c:ext xmlns:c16="http://schemas.microsoft.com/office/drawing/2014/chart" uri="{C3380CC4-5D6E-409C-BE32-E72D297353CC}">
              <c16:uniqueId val="{00000085-3FDF-491F-8872-A91AA318C83F}"/>
            </c:ext>
          </c:extLst>
        </c:ser>
        <c:dLbls>
          <c:showLegendKey val="0"/>
          <c:showVal val="1"/>
          <c:showCatName val="0"/>
          <c:showSerName val="0"/>
          <c:showPercent val="0"/>
          <c:showBubbleSize val="0"/>
        </c:dLbls>
        <c:axId val="450251455"/>
        <c:axId val="450253119"/>
      </c:areaChart>
      <c:catAx>
        <c:axId val="4502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0253119"/>
        <c:crosses val="autoZero"/>
        <c:auto val="1"/>
        <c:lblAlgn val="ctr"/>
        <c:lblOffset val="100"/>
        <c:noMultiLvlLbl val="0"/>
      </c:catAx>
      <c:valAx>
        <c:axId val="4502531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50251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Intelligent1.xlsx]Service Rating by Division!PivotTable5</c:name>
    <c:fmtId val="60"/>
  </c:pivotSource>
  <c:chart>
    <c:autoTitleDeleted val="0"/>
    <c:pivotFmts>
      <c:pivotFmt>
        <c:idx val="0"/>
        <c:spPr>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'Service Rating by Division'!$B$3:$B$4</c:f>
              <c:strCache>
                <c:ptCount val="1"/>
                <c:pt idx="0">
                  <c:v>Food and Beverage Service</c:v>
                </c:pt>
              </c:strCache>
            </c:strRef>
          </c:tx>
          <c:spPr>
            <a:ln w="31750" cap="rnd" cmpd="sng" algn="ctr">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Division'!$B$5:$B$10</c:f>
              <c:numCache>
                <c:formatCode>General</c:formatCode>
                <c:ptCount val="5"/>
                <c:pt idx="0">
                  <c:v>7</c:v>
                </c:pt>
              </c:numCache>
            </c:numRef>
          </c:val>
          <c:smooth val="0"/>
          <c:extLst>
            <c:ext xmlns:c16="http://schemas.microsoft.com/office/drawing/2014/chart" uri="{C3380CC4-5D6E-409C-BE32-E72D297353CC}">
              <c16:uniqueId val="{00000000-DC18-4F5B-BA2C-73FC7FDC0954}"/>
            </c:ext>
          </c:extLst>
        </c:ser>
        <c:ser>
          <c:idx val="1"/>
          <c:order val="1"/>
          <c:tx>
            <c:strRef>
              <c:f>'Service Rating by Division'!$C$3:$C$4</c:f>
              <c:strCache>
                <c:ptCount val="1"/>
                <c:pt idx="0">
                  <c:v>Housekeeping services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Division'!$C$5:$C$10</c:f>
              <c:numCache>
                <c:formatCode>General</c:formatCode>
                <c:ptCount val="5"/>
                <c:pt idx="2">
                  <c:v>5</c:v>
                </c:pt>
              </c:numCache>
            </c:numRef>
          </c:val>
          <c:smooth val="0"/>
          <c:extLst>
            <c:ext xmlns:c16="http://schemas.microsoft.com/office/drawing/2014/chart" uri="{C3380CC4-5D6E-409C-BE32-E72D297353CC}">
              <c16:uniqueId val="{0000007B-6D92-4E23-A7ED-52965348F265}"/>
            </c:ext>
          </c:extLst>
        </c:ser>
        <c:ser>
          <c:idx val="2"/>
          <c:order val="2"/>
          <c:tx>
            <c:strRef>
              <c:f>'Service Rating by Division'!$D$3:$D$4</c:f>
              <c:strCache>
                <c:ptCount val="1"/>
                <c:pt idx="0">
                  <c:v>Internet Services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Division'!$D$5:$D$10</c:f>
              <c:numCache>
                <c:formatCode>General</c:formatCode>
                <c:ptCount val="5"/>
                <c:pt idx="3">
                  <c:v>7</c:v>
                </c:pt>
              </c:numCache>
            </c:numRef>
          </c:val>
          <c:smooth val="0"/>
          <c:extLst>
            <c:ext xmlns:c16="http://schemas.microsoft.com/office/drawing/2014/chart" uri="{C3380CC4-5D6E-409C-BE32-E72D297353CC}">
              <c16:uniqueId val="{00000080-6D92-4E23-A7ED-52965348F265}"/>
            </c:ext>
          </c:extLst>
        </c:ser>
        <c:ser>
          <c:idx val="3"/>
          <c:order val="3"/>
          <c:tx>
            <c:strRef>
              <c:f>'Service Rating by Division'!$E$3:$E$4</c:f>
              <c:strCache>
                <c:ptCount val="1"/>
                <c:pt idx="0">
                  <c:v>Reception Service</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Division'!$E$5:$E$10</c:f>
              <c:numCache>
                <c:formatCode>General</c:formatCode>
                <c:ptCount val="5"/>
                <c:pt idx="1">
                  <c:v>6</c:v>
                </c:pt>
              </c:numCache>
            </c:numRef>
          </c:val>
          <c:smooth val="0"/>
          <c:extLst>
            <c:ext xmlns:c16="http://schemas.microsoft.com/office/drawing/2014/chart" uri="{C3380CC4-5D6E-409C-BE32-E72D297353CC}">
              <c16:uniqueId val="{00000081-6D92-4E23-A7ED-52965348F265}"/>
            </c:ext>
          </c:extLst>
        </c:ser>
        <c:ser>
          <c:idx val="4"/>
          <c:order val="4"/>
          <c:tx>
            <c:strRef>
              <c:f>'Service Rating by Division'!$F$3:$F$4</c:f>
              <c:strCache>
                <c:ptCount val="1"/>
                <c:pt idx="0">
                  <c:v>Security Services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Division'!$F$5:$F$10</c:f>
              <c:numCache>
                <c:formatCode>General</c:formatCode>
                <c:ptCount val="5"/>
                <c:pt idx="4">
                  <c:v>7</c:v>
                </c:pt>
              </c:numCache>
            </c:numRef>
          </c:val>
          <c:smooth val="0"/>
          <c:extLst>
            <c:ext xmlns:c16="http://schemas.microsoft.com/office/drawing/2014/chart" uri="{C3380CC4-5D6E-409C-BE32-E72D297353CC}">
              <c16:uniqueId val="{00000083-6D92-4E23-A7ED-52965348F265}"/>
            </c:ext>
          </c:extLst>
        </c:ser>
        <c:dLbls>
          <c:dLblPos val="ctr"/>
          <c:showLegendKey val="0"/>
          <c:showVal val="1"/>
          <c:showCatName val="0"/>
          <c:showSerName val="0"/>
          <c:showPercent val="0"/>
          <c:showBubbleSize val="0"/>
        </c:dLbls>
        <c:marker val="1"/>
        <c:smooth val="0"/>
        <c:axId val="577617727"/>
        <c:axId val="577637279"/>
      </c:lineChart>
      <c:catAx>
        <c:axId val="57761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7637279"/>
        <c:crosses val="autoZero"/>
        <c:auto val="1"/>
        <c:lblAlgn val="ctr"/>
        <c:lblOffset val="100"/>
        <c:noMultiLvlLbl val="0"/>
      </c:catAx>
      <c:valAx>
        <c:axId val="5776372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7617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1042556</xdr:colOff>
      <xdr:row>9</xdr:row>
      <xdr:rowOff>83993</xdr:rowOff>
    </xdr:from>
    <xdr:to>
      <xdr:col>17</xdr:col>
      <xdr:colOff>608735</xdr:colOff>
      <xdr:row>39</xdr:row>
      <xdr:rowOff>66674</xdr:rowOff>
    </xdr:to>
    <xdr:graphicFrame macro="">
      <xdr:nvGraphicFramePr>
        <xdr:cNvPr id="2" name="Chart 1">
          <a:extLst>
            <a:ext uri="{FF2B5EF4-FFF2-40B4-BE49-F238E27FC236}">
              <a16:creationId xmlns:a16="http://schemas.microsoft.com/office/drawing/2014/main" id="{2F0FAD13-1780-4DDE-81E1-1B479D28A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183573</xdr:colOff>
      <xdr:row>9</xdr:row>
      <xdr:rowOff>76693</xdr:rowOff>
    </xdr:from>
    <xdr:to>
      <xdr:col>33</xdr:col>
      <xdr:colOff>304800</xdr:colOff>
      <xdr:row>39</xdr:row>
      <xdr:rowOff>-1</xdr:rowOff>
    </xdr:to>
    <xdr:graphicFrame macro="">
      <xdr:nvGraphicFramePr>
        <xdr:cNvPr id="3" name="Chart 2">
          <a:extLst>
            <a:ext uri="{FF2B5EF4-FFF2-40B4-BE49-F238E27FC236}">
              <a16:creationId xmlns:a16="http://schemas.microsoft.com/office/drawing/2014/main" id="{F0F71258-5B50-4C18-AB42-C964BB097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1023072</xdr:colOff>
      <xdr:row>40</xdr:row>
      <xdr:rowOff>91103</xdr:rowOff>
    </xdr:from>
    <xdr:to>
      <xdr:col>17</xdr:col>
      <xdr:colOff>537296</xdr:colOff>
      <xdr:row>68</xdr:row>
      <xdr:rowOff>172746</xdr:rowOff>
    </xdr:to>
    <xdr:graphicFrame macro="">
      <xdr:nvGraphicFramePr>
        <xdr:cNvPr id="4" name="Chart 3">
          <a:extLst>
            <a:ext uri="{FF2B5EF4-FFF2-40B4-BE49-F238E27FC236}">
              <a16:creationId xmlns:a16="http://schemas.microsoft.com/office/drawing/2014/main" id="{726A9D17-F1A3-43D0-9489-637479A3D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190068</xdr:colOff>
      <xdr:row>40</xdr:row>
      <xdr:rowOff>180971</xdr:rowOff>
    </xdr:from>
    <xdr:to>
      <xdr:col>33</xdr:col>
      <xdr:colOff>380568</xdr:colOff>
      <xdr:row>69</xdr:row>
      <xdr:rowOff>25108</xdr:rowOff>
    </xdr:to>
    <xdr:graphicFrame macro="">
      <xdr:nvGraphicFramePr>
        <xdr:cNvPr id="6" name="Chart 5">
          <a:extLst>
            <a:ext uri="{FF2B5EF4-FFF2-40B4-BE49-F238E27FC236}">
              <a16:creationId xmlns:a16="http://schemas.microsoft.com/office/drawing/2014/main" id="{B1635261-904A-4B72-8AEB-52A9397F2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81828</xdr:colOff>
      <xdr:row>9</xdr:row>
      <xdr:rowOff>72735</xdr:rowOff>
    </xdr:from>
    <xdr:to>
      <xdr:col>49</xdr:col>
      <xdr:colOff>203059</xdr:colOff>
      <xdr:row>39</xdr:row>
      <xdr:rowOff>20780</xdr:rowOff>
    </xdr:to>
    <xdr:graphicFrame macro="">
      <xdr:nvGraphicFramePr>
        <xdr:cNvPr id="8" name="Chart 7">
          <a:extLst>
            <a:ext uri="{FF2B5EF4-FFF2-40B4-BE49-F238E27FC236}">
              <a16:creationId xmlns:a16="http://schemas.microsoft.com/office/drawing/2014/main" id="{C1D3212E-D374-41ED-A10A-F2D61A00F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57150</xdr:colOff>
      <xdr:row>41</xdr:row>
      <xdr:rowOff>429</xdr:rowOff>
    </xdr:from>
    <xdr:to>
      <xdr:col>49</xdr:col>
      <xdr:colOff>91786</xdr:colOff>
      <xdr:row>69</xdr:row>
      <xdr:rowOff>87020</xdr:rowOff>
    </xdr:to>
    <xdr:graphicFrame macro="">
      <xdr:nvGraphicFramePr>
        <xdr:cNvPr id="9" name="Chart 8">
          <a:extLst>
            <a:ext uri="{FF2B5EF4-FFF2-40B4-BE49-F238E27FC236}">
              <a16:creationId xmlns:a16="http://schemas.microsoft.com/office/drawing/2014/main" id="{92371B34-73AB-46D3-90F7-2CFDB335B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122094</xdr:colOff>
      <xdr:row>20</xdr:row>
      <xdr:rowOff>69273</xdr:rowOff>
    </xdr:from>
    <xdr:to>
      <xdr:col>1</xdr:col>
      <xdr:colOff>1335946</xdr:colOff>
      <xdr:row>57</xdr:row>
      <xdr:rowOff>34637</xdr:rowOff>
    </xdr:to>
    <mc:AlternateContent xmlns:mc="http://schemas.openxmlformats.org/markup-compatibility/2006">
      <mc:Choice xmlns:a14="http://schemas.microsoft.com/office/drawing/2010/main" Requires="a14">
        <xdr:graphicFrame macro="">
          <xdr:nvGraphicFramePr>
            <xdr:cNvPr id="11" name="Employee">
              <a:extLst>
                <a:ext uri="{FF2B5EF4-FFF2-40B4-BE49-F238E27FC236}">
                  <a16:creationId xmlns:a16="http://schemas.microsoft.com/office/drawing/2014/main" id="{EDBFA4CA-6A03-427D-B171-DC30C60CE1B1}"/>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122094" y="3879273"/>
              <a:ext cx="1826173" cy="7013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1476807</xdr:colOff>
      <xdr:row>20</xdr:row>
      <xdr:rowOff>107373</xdr:rowOff>
    </xdr:from>
    <xdr:to>
      <xdr:col>2</xdr:col>
      <xdr:colOff>558790</xdr:colOff>
      <xdr:row>39</xdr:row>
      <xdr:rowOff>112567</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71332702-3A08-42DD-9761-C34415DFAE6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086407" y="3917373"/>
              <a:ext cx="1863283" cy="3624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1484169</xdr:colOff>
      <xdr:row>13</xdr:row>
      <xdr:rowOff>88324</xdr:rowOff>
    </xdr:from>
    <xdr:to>
      <xdr:col>2</xdr:col>
      <xdr:colOff>566152</xdr:colOff>
      <xdr:row>19</xdr:row>
      <xdr:rowOff>110838</xdr:rowOff>
    </xdr:to>
    <mc:AlternateContent xmlns:mc="http://schemas.openxmlformats.org/markup-compatibility/2006" xmlns:a14="http://schemas.microsoft.com/office/drawing/2010/main">
      <mc:Choice Requires="a14">
        <xdr:graphicFrame macro="">
          <xdr:nvGraphicFramePr>
            <xdr:cNvPr id="13" name="Years">
              <a:extLst>
                <a:ext uri="{FF2B5EF4-FFF2-40B4-BE49-F238E27FC236}">
                  <a16:creationId xmlns:a16="http://schemas.microsoft.com/office/drawing/2014/main" id="{0ADB599C-37C1-467E-8518-B8B0A445756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093769" y="2564824"/>
              <a:ext cx="1863283" cy="1165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137678</xdr:colOff>
      <xdr:row>58</xdr:row>
      <xdr:rowOff>29441</xdr:rowOff>
    </xdr:from>
    <xdr:to>
      <xdr:col>2</xdr:col>
      <xdr:colOff>603029</xdr:colOff>
      <xdr:row>68</xdr:row>
      <xdr:rowOff>103909</xdr:rowOff>
    </xdr:to>
    <mc:AlternateContent xmlns:mc="http://schemas.openxmlformats.org/markup-compatibility/2006" xmlns:a14="http://schemas.microsoft.com/office/drawing/2010/main">
      <mc:Choice Requires="a14">
        <xdr:graphicFrame macro="">
          <xdr:nvGraphicFramePr>
            <xdr:cNvPr id="14" name="Division">
              <a:extLst>
                <a:ext uri="{FF2B5EF4-FFF2-40B4-BE49-F238E27FC236}">
                  <a16:creationId xmlns:a16="http://schemas.microsoft.com/office/drawing/2014/main" id="{E9092544-1A22-413E-87A9-E4153758C281}"/>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37678" y="11078441"/>
              <a:ext cx="3828186" cy="1979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121227</xdr:colOff>
      <xdr:row>13</xdr:row>
      <xdr:rowOff>81397</xdr:rowOff>
    </xdr:from>
    <xdr:to>
      <xdr:col>1</xdr:col>
      <xdr:colOff>1346336</xdr:colOff>
      <xdr:row>18</xdr:row>
      <xdr:rowOff>103911</xdr:rowOff>
    </xdr:to>
    <mc:AlternateContent xmlns:mc="http://schemas.openxmlformats.org/markup-compatibility/2006" xmlns:a14="http://schemas.microsoft.com/office/drawing/2010/main">
      <mc:Choice Requires="a14">
        <xdr:graphicFrame macro="">
          <xdr:nvGraphicFramePr>
            <xdr:cNvPr id="15" name="Shift">
              <a:extLst>
                <a:ext uri="{FF2B5EF4-FFF2-40B4-BE49-F238E27FC236}">
                  <a16:creationId xmlns:a16="http://schemas.microsoft.com/office/drawing/2014/main" id="{D1A59C1B-DCE2-40AE-98DB-D59ECCFB0347}"/>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21227" y="2557897"/>
              <a:ext cx="1828800" cy="975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1488065</xdr:colOff>
      <xdr:row>40</xdr:row>
      <xdr:rowOff>124260</xdr:rowOff>
    </xdr:from>
    <xdr:to>
      <xdr:col>2</xdr:col>
      <xdr:colOff>737017</xdr:colOff>
      <xdr:row>56</xdr:row>
      <xdr:rowOff>42863</xdr:rowOff>
    </xdr:to>
    <mc:AlternateContent xmlns:mc="http://schemas.openxmlformats.org/markup-compatibility/2006" xmlns:a14="http://schemas.microsoft.com/office/drawing/2010/main">
      <mc:Choice Requires="a14">
        <xdr:graphicFrame macro="">
          <xdr:nvGraphicFramePr>
            <xdr:cNvPr id="16" name="Supervisor">
              <a:extLst>
                <a:ext uri="{FF2B5EF4-FFF2-40B4-BE49-F238E27FC236}">
                  <a16:creationId xmlns:a16="http://schemas.microsoft.com/office/drawing/2014/main" id="{6151C87E-F1C0-4D49-9A3C-88630311743B}"/>
                </a:ext>
              </a:extLst>
            </xdr:cNvPr>
            <xdr:cNvGraphicFramePr/>
          </xdr:nvGraphicFramePr>
          <xdr:xfrm>
            <a:off x="0" y="0"/>
            <a:ext cx="0" cy="0"/>
          </xdr:xfrm>
          <a:graphic>
            <a:graphicData uri="http://schemas.microsoft.com/office/drawing/2010/slicer">
              <sle:slicer xmlns:sle="http://schemas.microsoft.com/office/drawing/2010/slicer" name="Supervisor"/>
            </a:graphicData>
          </a:graphic>
        </xdr:graphicFrame>
      </mc:Choice>
      <mc:Fallback xmlns="">
        <xdr:sp macro="" textlink="">
          <xdr:nvSpPr>
            <xdr:cNvPr id="0" name=""/>
            <xdr:cNvSpPr>
              <a:spLocks noTextEdit="1"/>
            </xdr:cNvSpPr>
          </xdr:nvSpPr>
          <xdr:spPr>
            <a:xfrm>
              <a:off x="2097665" y="7744260"/>
              <a:ext cx="2030252" cy="2966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69273</xdr:colOff>
      <xdr:row>0</xdr:row>
      <xdr:rowOff>173181</xdr:rowOff>
    </xdr:from>
    <xdr:to>
      <xdr:col>2</xdr:col>
      <xdr:colOff>637665</xdr:colOff>
      <xdr:row>12</xdr:row>
      <xdr:rowOff>98496</xdr:rowOff>
    </xdr:to>
    <xdr:pic>
      <xdr:nvPicPr>
        <xdr:cNvPr id="18" name="Picture 17">
          <a:extLst>
            <a:ext uri="{FF2B5EF4-FFF2-40B4-BE49-F238E27FC236}">
              <a16:creationId xmlns:a16="http://schemas.microsoft.com/office/drawing/2014/main" id="{0443C07D-9477-4F6F-8016-84B9309048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273" y="173181"/>
          <a:ext cx="3931227" cy="2211315"/>
        </a:xfrm>
        <a:prstGeom prst="rect">
          <a:avLst/>
        </a:prstGeom>
      </xdr:spPr>
    </xdr:pic>
    <xdr:clientData/>
  </xdr:twoCellAnchor>
  <xdr:twoCellAnchor editAs="oneCell">
    <xdr:from>
      <xdr:col>12</xdr:col>
      <xdr:colOff>381001</xdr:colOff>
      <xdr:row>1</xdr:row>
      <xdr:rowOff>1</xdr:rowOff>
    </xdr:from>
    <xdr:to>
      <xdr:col>17</xdr:col>
      <xdr:colOff>208217</xdr:colOff>
      <xdr:row>8</xdr:row>
      <xdr:rowOff>95450</xdr:rowOff>
    </xdr:to>
    <xdr:pic>
      <xdr:nvPicPr>
        <xdr:cNvPr id="20" name="Picture 19">
          <a:extLst>
            <a:ext uri="{FF2B5EF4-FFF2-40B4-BE49-F238E27FC236}">
              <a16:creationId xmlns:a16="http://schemas.microsoft.com/office/drawing/2014/main" id="{BD8E263A-A2A6-4556-A7A9-C172BD6F0ED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654637" y="190501"/>
          <a:ext cx="2857899" cy="1428949"/>
        </a:xfrm>
        <a:prstGeom prst="rect">
          <a:avLst/>
        </a:prstGeom>
      </xdr:spPr>
    </xdr:pic>
    <xdr:clientData/>
  </xdr:twoCellAnchor>
  <xdr:twoCellAnchor editAs="oneCell">
    <xdr:from>
      <xdr:col>41</xdr:col>
      <xdr:colOff>533400</xdr:colOff>
      <xdr:row>1</xdr:row>
      <xdr:rowOff>13854</xdr:rowOff>
    </xdr:from>
    <xdr:to>
      <xdr:col>46</xdr:col>
      <xdr:colOff>360617</xdr:colOff>
      <xdr:row>8</xdr:row>
      <xdr:rowOff>109303</xdr:rowOff>
    </xdr:to>
    <xdr:pic>
      <xdr:nvPicPr>
        <xdr:cNvPr id="21" name="Picture 20">
          <a:extLst>
            <a:ext uri="{FF2B5EF4-FFF2-40B4-BE49-F238E27FC236}">
              <a16:creationId xmlns:a16="http://schemas.microsoft.com/office/drawing/2014/main" id="{44EF1694-63B6-46A9-8EEE-9549B2E57CF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5384991" y="204354"/>
          <a:ext cx="2857899" cy="1428949"/>
        </a:xfrm>
        <a:prstGeom prst="rect">
          <a:avLst/>
        </a:prstGeom>
      </xdr:spPr>
    </xdr:pic>
    <xdr:clientData/>
  </xdr:twoCellAnchor>
  <xdr:oneCellAnchor>
    <xdr:from>
      <xdr:col>18</xdr:col>
      <xdr:colOff>121226</xdr:colOff>
      <xdr:row>1</xdr:row>
      <xdr:rowOff>103910</xdr:rowOff>
    </xdr:from>
    <xdr:ext cx="13542819" cy="1229590"/>
    <xdr:sp macro="" textlink="">
      <xdr:nvSpPr>
        <xdr:cNvPr id="22" name="TextBox 21">
          <a:extLst>
            <a:ext uri="{FF2B5EF4-FFF2-40B4-BE49-F238E27FC236}">
              <a16:creationId xmlns:a16="http://schemas.microsoft.com/office/drawing/2014/main" id="{0265E38D-4471-425D-BA40-E751B1926E0D}"/>
            </a:ext>
          </a:extLst>
        </xdr:cNvPr>
        <xdr:cNvSpPr txBox="1"/>
      </xdr:nvSpPr>
      <xdr:spPr>
        <a:xfrm>
          <a:off x="11031681" y="294410"/>
          <a:ext cx="13542819" cy="1229590"/>
        </a:xfrm>
        <a:prstGeom prst="rect">
          <a:avLst/>
        </a:prstGeom>
        <a:solidFill>
          <a:schemeClr val="accent6"/>
        </a:solidFill>
        <a:ln w="38100">
          <a:solidFill>
            <a:schemeClr val="tx1"/>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US" sz="8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Brunei </a:t>
          </a:r>
          <a:r>
            <a:rPr lang="en-US" sz="8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Hotel</a:t>
          </a:r>
          <a:r>
            <a:rPr lang="en-US" sz="8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Business</a:t>
          </a:r>
          <a:r>
            <a:rPr lang="en-US" sz="8000"/>
            <a:t> </a:t>
          </a:r>
          <a:r>
            <a:rPr lang="en-US" sz="8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Solution</a:t>
          </a:r>
          <a:endParaRPr lang="en-US" sz="8000">
            <a:ln w="12700">
              <a:solidFill>
                <a:schemeClr val="accent4">
                  <a:lumMod val="50000"/>
                </a:schemeClr>
              </a:solidFill>
              <a:prstDash val="solid"/>
            </a:ln>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95249</xdr:colOff>
      <xdr:row>13</xdr:row>
      <xdr:rowOff>142875</xdr:rowOff>
    </xdr:from>
    <xdr:to>
      <xdr:col>25</xdr:col>
      <xdr:colOff>523874</xdr:colOff>
      <xdr:row>34</xdr:row>
      <xdr:rowOff>28575</xdr:rowOff>
    </xdr:to>
    <xdr:graphicFrame macro="">
      <xdr:nvGraphicFramePr>
        <xdr:cNvPr id="5" name="Chart 4">
          <a:extLst>
            <a:ext uri="{FF2B5EF4-FFF2-40B4-BE49-F238E27FC236}">
              <a16:creationId xmlns:a16="http://schemas.microsoft.com/office/drawing/2014/main" id="{014DC8F6-EFC5-4B36-A3A6-D6B3183FE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209550</xdr:colOff>
      <xdr:row>11</xdr:row>
      <xdr:rowOff>142875</xdr:rowOff>
    </xdr:from>
    <xdr:to>
      <xdr:col>20</xdr:col>
      <xdr:colOff>19050</xdr:colOff>
      <xdr:row>39</xdr:row>
      <xdr:rowOff>28575</xdr:rowOff>
    </xdr:to>
    <xdr:graphicFrame macro="">
      <xdr:nvGraphicFramePr>
        <xdr:cNvPr id="5" name="Chart 4">
          <a:extLst>
            <a:ext uri="{FF2B5EF4-FFF2-40B4-BE49-F238E27FC236}">
              <a16:creationId xmlns:a16="http://schemas.microsoft.com/office/drawing/2014/main" id="{4B05DB9B-A7C0-45EE-98C9-897AB7F0A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438149</xdr:colOff>
      <xdr:row>5</xdr:row>
      <xdr:rowOff>85724</xdr:rowOff>
    </xdr:from>
    <xdr:to>
      <xdr:col>17</xdr:col>
      <xdr:colOff>28574</xdr:colOff>
      <xdr:row>25</xdr:row>
      <xdr:rowOff>76199</xdr:rowOff>
    </xdr:to>
    <xdr:graphicFrame macro="">
      <xdr:nvGraphicFramePr>
        <xdr:cNvPr id="2" name="Chart 1">
          <a:extLst>
            <a:ext uri="{FF2B5EF4-FFF2-40B4-BE49-F238E27FC236}">
              <a16:creationId xmlns:a16="http://schemas.microsoft.com/office/drawing/2014/main" id="{9F49D63C-D9F4-4AD9-AAF6-24BC3691B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47624</xdr:colOff>
      <xdr:row>14</xdr:row>
      <xdr:rowOff>57149</xdr:rowOff>
    </xdr:from>
    <xdr:to>
      <xdr:col>26</xdr:col>
      <xdr:colOff>180974</xdr:colOff>
      <xdr:row>36</xdr:row>
      <xdr:rowOff>180974</xdr:rowOff>
    </xdr:to>
    <xdr:graphicFrame macro="">
      <xdr:nvGraphicFramePr>
        <xdr:cNvPr id="4" name="Chart 3">
          <a:extLst>
            <a:ext uri="{FF2B5EF4-FFF2-40B4-BE49-F238E27FC236}">
              <a16:creationId xmlns:a16="http://schemas.microsoft.com/office/drawing/2014/main" id="{B623EE11-1B83-4792-BC5F-6C9ABEC16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847724</xdr:colOff>
      <xdr:row>14</xdr:row>
      <xdr:rowOff>76200</xdr:rowOff>
    </xdr:from>
    <xdr:to>
      <xdr:col>14</xdr:col>
      <xdr:colOff>209549</xdr:colOff>
      <xdr:row>28</xdr:row>
      <xdr:rowOff>152400</xdr:rowOff>
    </xdr:to>
    <xdr:graphicFrame macro="">
      <xdr:nvGraphicFramePr>
        <xdr:cNvPr id="4" name="Chart 3">
          <a:extLst>
            <a:ext uri="{FF2B5EF4-FFF2-40B4-BE49-F238E27FC236}">
              <a16:creationId xmlns:a16="http://schemas.microsoft.com/office/drawing/2014/main" id="{F34EC180-8D43-42B3-839C-F7C6948FA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323849</xdr:colOff>
      <xdr:row>11</xdr:row>
      <xdr:rowOff>104774</xdr:rowOff>
    </xdr:from>
    <xdr:to>
      <xdr:col>8</xdr:col>
      <xdr:colOff>800100</xdr:colOff>
      <xdr:row>41</xdr:row>
      <xdr:rowOff>180975</xdr:rowOff>
    </xdr:to>
    <xdr:graphicFrame macro="">
      <xdr:nvGraphicFramePr>
        <xdr:cNvPr id="5" name="Chart 4">
          <a:extLst>
            <a:ext uri="{FF2B5EF4-FFF2-40B4-BE49-F238E27FC236}">
              <a16:creationId xmlns:a16="http://schemas.microsoft.com/office/drawing/2014/main" id="{2990766A-603D-45DC-A8C9-3BE41014C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ir Lee" refreshedDate="44601.546138194448" createdVersion="7" refreshedVersion="7" minRefreshableVersion="3" recordCount="100" xr:uid="{00000000-000A-0000-FFFF-FFFF0E000000}">
  <cacheSource type="worksheet">
    <worksheetSource name="Table2"/>
  </cacheSource>
  <cacheFields count="14">
    <cacheField name="Date" numFmtId="14">
      <sharedItems containsSemiMixedTypes="0" containsNonDate="0" containsDate="1" containsString="0" minDate="2019-01-01T00:00:00" maxDate="2021-09-16T00:00:00" count="89">
        <d v="2019-01-01T00:00:00"/>
        <d v="2019-03-15T00:00:00"/>
        <d v="2019-03-26T00:00:00"/>
        <d v="2019-04-20T00:00:00"/>
        <d v="2019-04-28T00:00:00"/>
        <d v="2019-05-01T00:00:00"/>
        <d v="2019-05-14T00:00:00"/>
        <d v="2019-06-10T00:00:00"/>
        <d v="2019-06-22T00:00:00"/>
        <d v="2019-07-04T00:00:00"/>
        <d v="2019-07-15T00:00:00"/>
        <d v="2019-08-01T00:00:00"/>
        <d v="2019-08-03T00:00:00"/>
        <d v="2019-08-15T00:00:00"/>
        <d v="2019-08-29T00:00:00"/>
        <d v="2019-09-09T00:00:00"/>
        <d v="2019-09-29T00:00:00"/>
        <d v="2019-09-30T00:00:00"/>
        <d v="2019-10-04T00:00:00"/>
        <d v="2019-10-15T00:00:00"/>
        <d v="2019-10-18T00:00:00"/>
        <d v="2019-10-24T00:00:00"/>
        <d v="2019-11-29T00:00:00"/>
        <d v="2019-12-01T00:00:00"/>
        <d v="2019-12-04T00:00:00"/>
        <d v="2019-12-14T00:00:00"/>
        <d v="2019-12-15T00:00:00"/>
        <d v="2019-12-29T00:00:00"/>
        <d v="2020-01-02T00:00:00"/>
        <d v="2020-01-07T00:00:00"/>
        <d v="2020-01-25T00:00:00"/>
        <d v="2020-02-01T00:00:00"/>
        <d v="2020-02-12T00:00:00"/>
        <d v="2020-02-28T00:00:00"/>
        <d v="2020-03-01T00:00:00"/>
        <d v="2020-03-15T00:00:00"/>
        <d v="2020-03-18T00:00:00"/>
        <d v="2020-04-04T00:00:00"/>
        <d v="2020-04-24T00:00:00"/>
        <d v="2020-05-01T00:00:00"/>
        <d v="2020-05-15T00:00:00"/>
        <d v="2020-05-25T00:00:00"/>
        <d v="2020-06-01T00:00:00"/>
        <d v="2020-06-30T00:00:00"/>
        <d v="2020-07-01T00:00:00"/>
        <d v="2020-07-17T00:00:00"/>
        <d v="2020-07-27T00:00:00"/>
        <d v="2020-08-11T00:00:00"/>
        <d v="2020-08-28T00:00:00"/>
        <d v="2020-09-01T00:00:00"/>
        <d v="2020-03-16T00:00:00"/>
        <d v="2020-10-01T00:00:00"/>
        <d v="2020-10-11T00:00:00"/>
        <d v="2020-10-21T00:00:00"/>
        <d v="2020-11-29T00:00:00"/>
        <d v="2020-12-29T00:00:00"/>
        <d v="2020-12-30T00:00:00"/>
        <d v="2020-12-31T00:00:00"/>
        <d v="2021-01-12T00:00:00"/>
        <d v="2021-01-07T00:00:00"/>
        <d v="2021-01-20T00:00:00"/>
        <d v="2021-02-01T00:00:00"/>
        <d v="2021-02-15T00:00:00"/>
        <d v="2021-02-26T00:00:00"/>
        <d v="2021-03-01T00:00:00"/>
        <d v="2021-04-01T00:00:00"/>
        <d v="2021-04-08T00:00:00"/>
        <d v="2021-04-20T00:00:00"/>
        <d v="2021-05-01T00:00:00"/>
        <d v="2021-05-15T00:00:00"/>
        <d v="2021-05-25T00:00:00"/>
        <d v="2021-05-30T00:00:00"/>
        <d v="2021-05-31T00:00:00"/>
        <d v="2021-06-01T00:00:00"/>
        <d v="2021-06-07T00:00:00"/>
        <d v="2021-06-15T00:00:00"/>
        <d v="2021-06-28T00:00:00"/>
        <d v="2021-07-01T00:00:00"/>
        <d v="2021-07-10T00:00:00"/>
        <d v="2021-07-15T00:00:00"/>
        <d v="2021-07-24T00:00:00"/>
        <d v="2021-07-28T00:00:00"/>
        <d v="2021-08-01T00:00:00"/>
        <d v="2021-08-10T00:00:00"/>
        <d v="2021-08-14T00:00:00"/>
        <d v="2021-08-19T00:00:00"/>
        <d v="2021-08-29T00:00:00"/>
        <d v="2021-09-01T00:00:00"/>
        <d v="2021-09-15T00:00:00"/>
      </sharedItems>
      <fieldGroup par="13" base="0">
        <rangePr groupBy="months" startDate="2019-01-01T00:00:00" endDate="2021-09-16T00:00:00"/>
        <groupItems count="14">
          <s v="&lt;1/1/2019"/>
          <s v="Jan"/>
          <s v="Feb"/>
          <s v="Mar"/>
          <s v="Apr"/>
          <s v="May"/>
          <s v="Jun"/>
          <s v="Jul"/>
          <s v="Aug"/>
          <s v="Sep"/>
          <s v="Oct"/>
          <s v="Nov"/>
          <s v="Dec"/>
          <s v="&gt;9/16/2021"/>
        </groupItems>
      </fieldGroup>
    </cacheField>
    <cacheField name="Shift" numFmtId="0">
      <sharedItems count="2">
        <s v="Morning"/>
        <s v="Night"/>
      </sharedItems>
    </cacheField>
    <cacheField name="Punch In" numFmtId="164">
      <sharedItems containsSemiMixedTypes="0" containsNonDate="0" containsDate="1" containsString="0" minDate="1899-12-30T06:45:00" maxDate="1899-12-30T15:00:00"/>
    </cacheField>
    <cacheField name="Punch Out" numFmtId="164">
      <sharedItems containsSemiMixedTypes="0" containsNonDate="0" containsDate="1" containsString="0" minDate="1899-12-30T13:00:00" maxDate="1899-12-30T23:20:00"/>
    </cacheField>
    <cacheField name="No of Hour" numFmtId="0">
      <sharedItems containsSemiMixedTypes="0" containsString="0" containsNumber="1" containsInteger="1" minValue="8" maxValue="8"/>
    </cacheField>
    <cacheField name="Service Type" numFmtId="0">
      <sharedItems count="9">
        <s v="Food and Beverage Service"/>
        <s v="Room Service"/>
        <s v="Car Rental Service"/>
        <s v="Security Services"/>
        <s v="Housekeeping services"/>
        <s v="Reception Service"/>
        <s v="Laundry Services"/>
        <s v="Internet Services"/>
        <s v="Car Rentail Service" u="1"/>
      </sharedItems>
    </cacheField>
    <cacheField name="Employee" numFmtId="0">
      <sharedItems count="58">
        <s v="Ali"/>
        <s v="Amir"/>
        <s v="Aizat"/>
        <s v="Harmi"/>
        <s v="Rahimah"/>
        <s v="Nana"/>
        <s v="Ezzah"/>
        <s v="Nurul"/>
        <s v="Hasif"/>
        <s v="Zafrid"/>
        <s v="Nasri"/>
        <s v="Zeha"/>
        <s v="Arif"/>
        <s v="Rina"/>
        <s v="Minah"/>
        <s v="Finas"/>
        <s v="Samsul"/>
        <s v="Syukriah"/>
        <s v="Farid"/>
        <s v="Amal"/>
        <s v="Faiq"/>
        <s v="Serudin"/>
        <s v="Ryan"/>
        <s v="Farah"/>
        <s v="Zaki"/>
        <s v="Faizah"/>
        <s v="Zamri"/>
        <s v="Fahmi"/>
        <s v="Mac"/>
        <s v="Nuh"/>
        <s v="Irna"/>
        <s v="Rasyimah"/>
        <s v="Zian"/>
        <s v="Fitri"/>
        <s v="Mark"/>
        <s v="Muiz"/>
        <s v="Wadihah"/>
        <s v="Tiqah"/>
        <s v="Tina"/>
        <s v="Zikri"/>
        <s v="Syafiq"/>
        <s v="Farhan"/>
        <s v="Hariz"/>
        <s v="Syasya"/>
        <s v="Raihan"/>
        <s v="Alias"/>
        <s v="Mujib"/>
        <s v="Aqmal"/>
        <s v="Nawi"/>
        <s v="Raisa"/>
        <s v="Najwa"/>
        <s v="Ben"/>
        <s v="Umar"/>
        <s v="Warid"/>
        <s v="Ikhwan"/>
        <s v="Zira"/>
        <s v="Sari"/>
        <s v="Azrul"/>
      </sharedItems>
    </cacheField>
    <cacheField name="Supervisor" numFmtId="0">
      <sharedItems count="9">
        <s v="Rahman"/>
        <s v="Wali"/>
        <s v="Azri"/>
        <s v="Wahid"/>
        <s v="Husna"/>
        <s v="Aiman"/>
        <s v="Ziqah"/>
        <s v="Aira"/>
        <s v="Syirah"/>
      </sharedItems>
    </cacheField>
    <cacheField name="Manager" numFmtId="0">
      <sharedItems/>
    </cacheField>
    <cacheField name="Division" numFmtId="0">
      <sharedItems count="5">
        <s v="Food and Beverage Production Department"/>
        <s v="Front Office Department"/>
        <s v="Security Department"/>
        <s v="Housekeeping Department"/>
        <s v="Information Technology Department"/>
      </sharedItems>
    </cacheField>
    <cacheField name="Customer" numFmtId="0">
      <sharedItems/>
    </cacheField>
    <cacheField name="Service Rating" numFmtId="0">
      <sharedItems containsSemiMixedTypes="0" containsString="0" containsNumber="1" containsInteger="1" minValue="1" maxValue="10"/>
    </cacheField>
    <cacheField name="Quarters" numFmtId="0" databaseField="0">
      <fieldGroup base="0">
        <rangePr groupBy="quarters" startDate="2019-01-01T00:00:00" endDate="2021-09-16T00:00:00"/>
        <groupItems count="6">
          <s v="&lt;1/1/2019"/>
          <s v="Qtr1"/>
          <s v="Qtr2"/>
          <s v="Qtr3"/>
          <s v="Qtr4"/>
          <s v="&gt;9/16/2021"/>
        </groupItems>
      </fieldGroup>
    </cacheField>
    <cacheField name="Years" numFmtId="0" databaseField="0">
      <fieldGroup base="0">
        <rangePr groupBy="years" startDate="2019-01-01T00:00:00" endDate="2021-09-16T00:00:00"/>
        <groupItems count="5">
          <s v="&lt;1/1/2019"/>
          <s v="2019"/>
          <s v="2020"/>
          <s v="2021"/>
          <s v="&gt;9/16/2021"/>
        </groupItems>
      </fieldGroup>
    </cacheField>
  </cacheFields>
  <extLst>
    <ext xmlns:x14="http://schemas.microsoft.com/office/spreadsheetml/2009/9/main" uri="{725AE2AE-9491-48be-B2B4-4EB974FC3084}">
      <x14:pivotCacheDefinition pivotCacheId="1509202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d v="1899-12-30T07:15:00"/>
    <d v="1899-12-30T16:00:00"/>
    <n v="8"/>
    <x v="0"/>
    <x v="0"/>
    <x v="0"/>
    <s v="Ahmad"/>
    <x v="0"/>
    <s v="Rena"/>
    <n v="8"/>
  </r>
  <r>
    <x v="0"/>
    <x v="0"/>
    <d v="1899-12-30T06:45:00"/>
    <d v="1899-12-30T15:05:00"/>
    <n v="8"/>
    <x v="1"/>
    <x v="1"/>
    <x v="1"/>
    <s v="Ahmad"/>
    <x v="0"/>
    <s v="Aina"/>
    <n v="7"/>
  </r>
  <r>
    <x v="0"/>
    <x v="0"/>
    <d v="1899-12-30T07:00:00"/>
    <d v="1899-12-30T15:15:00"/>
    <n v="8"/>
    <x v="1"/>
    <x v="2"/>
    <x v="1"/>
    <s v="Ahmad"/>
    <x v="0"/>
    <s v="Bujang"/>
    <n v="8"/>
  </r>
  <r>
    <x v="1"/>
    <x v="1"/>
    <d v="1899-12-30T15:00:00"/>
    <d v="1899-12-30T23:20:00"/>
    <n v="8"/>
    <x v="2"/>
    <x v="3"/>
    <x v="2"/>
    <s v="Duan"/>
    <x v="1"/>
    <s v="Hana"/>
    <n v="10"/>
  </r>
  <r>
    <x v="2"/>
    <x v="1"/>
    <d v="1899-12-30T15:00:00"/>
    <d v="1899-12-30T23:15:00"/>
    <n v="8"/>
    <x v="3"/>
    <x v="4"/>
    <x v="3"/>
    <s v="Hasan"/>
    <x v="2"/>
    <s v="Zen"/>
    <n v="7"/>
  </r>
  <r>
    <x v="3"/>
    <x v="0"/>
    <d v="1899-12-30T07:00:00"/>
    <d v="1899-12-30T14:40:00"/>
    <n v="8"/>
    <x v="4"/>
    <x v="5"/>
    <x v="4"/>
    <s v="Zurry"/>
    <x v="3"/>
    <s v="Mina"/>
    <n v="5"/>
  </r>
  <r>
    <x v="4"/>
    <x v="0"/>
    <d v="1899-12-30T07:00:00"/>
    <d v="1899-12-30T15:10:00"/>
    <n v="8"/>
    <x v="5"/>
    <x v="6"/>
    <x v="5"/>
    <s v="Wana"/>
    <x v="1"/>
    <s v="Saleh"/>
    <n v="2"/>
  </r>
  <r>
    <x v="5"/>
    <x v="0"/>
    <d v="1899-12-30T07:00:00"/>
    <d v="1899-12-30T15:50:00"/>
    <n v="8"/>
    <x v="6"/>
    <x v="7"/>
    <x v="6"/>
    <s v="Zurry"/>
    <x v="3"/>
    <s v="Sam"/>
    <n v="6"/>
  </r>
  <r>
    <x v="6"/>
    <x v="0"/>
    <d v="1899-12-30T07:00:00"/>
    <d v="1899-12-30T15:05:00"/>
    <n v="8"/>
    <x v="2"/>
    <x v="8"/>
    <x v="2"/>
    <s v="Wana"/>
    <x v="1"/>
    <s v="Rasyid"/>
    <n v="1"/>
  </r>
  <r>
    <x v="7"/>
    <x v="0"/>
    <d v="1899-12-30T07:00:00"/>
    <d v="1899-12-30T15:00:00"/>
    <n v="8"/>
    <x v="2"/>
    <x v="9"/>
    <x v="2"/>
    <s v="Wana"/>
    <x v="1"/>
    <s v="Rahim"/>
    <n v="8"/>
  </r>
  <r>
    <x v="8"/>
    <x v="0"/>
    <d v="1899-12-30T07:15:00"/>
    <d v="1899-12-30T15:15:00"/>
    <n v="8"/>
    <x v="0"/>
    <x v="10"/>
    <x v="0"/>
    <s v="Ahmad"/>
    <x v="0"/>
    <s v="Yusri"/>
    <n v="8"/>
  </r>
  <r>
    <x v="9"/>
    <x v="0"/>
    <d v="1899-12-30T07:00:00"/>
    <d v="1899-12-30T15:00:00"/>
    <n v="8"/>
    <x v="2"/>
    <x v="8"/>
    <x v="2"/>
    <s v="Wana"/>
    <x v="1"/>
    <s v="Rena"/>
    <n v="1"/>
  </r>
  <r>
    <x v="10"/>
    <x v="0"/>
    <d v="1899-12-30T07:00:00"/>
    <d v="1899-12-30T15:00:00"/>
    <n v="8"/>
    <x v="1"/>
    <x v="11"/>
    <x v="1"/>
    <s v="Ahmad"/>
    <x v="0"/>
    <s v="Aina"/>
    <n v="2"/>
  </r>
  <r>
    <x v="10"/>
    <x v="1"/>
    <d v="1899-12-30T15:00:00"/>
    <d v="1899-12-30T22:00:00"/>
    <n v="8"/>
    <x v="4"/>
    <x v="12"/>
    <x v="4"/>
    <s v="Zurry"/>
    <x v="3"/>
    <s v="Bujang"/>
    <n v="5"/>
  </r>
  <r>
    <x v="11"/>
    <x v="1"/>
    <d v="1899-12-30T15:00:00"/>
    <d v="1899-12-30T23:05:00"/>
    <n v="8"/>
    <x v="0"/>
    <x v="13"/>
    <x v="0"/>
    <s v="Ahmad"/>
    <x v="0"/>
    <s v="Hana"/>
    <n v="9"/>
  </r>
  <r>
    <x v="12"/>
    <x v="1"/>
    <d v="1899-12-30T15:00:00"/>
    <d v="1899-12-30T23:14:00"/>
    <n v="8"/>
    <x v="5"/>
    <x v="14"/>
    <x v="7"/>
    <s v="Wana"/>
    <x v="1"/>
    <s v="Zen"/>
    <n v="9"/>
  </r>
  <r>
    <x v="13"/>
    <x v="1"/>
    <d v="1899-12-30T15:00:00"/>
    <d v="1899-12-30T23:00:00"/>
    <n v="8"/>
    <x v="3"/>
    <x v="15"/>
    <x v="3"/>
    <s v="Hasan"/>
    <x v="2"/>
    <s v="Mina"/>
    <n v="10"/>
  </r>
  <r>
    <x v="14"/>
    <x v="1"/>
    <d v="1899-12-30T15:00:00"/>
    <d v="1899-12-30T23:00:00"/>
    <n v="8"/>
    <x v="7"/>
    <x v="16"/>
    <x v="8"/>
    <s v="Sarah"/>
    <x v="4"/>
    <s v="Saleh"/>
    <n v="4"/>
  </r>
  <r>
    <x v="15"/>
    <x v="1"/>
    <d v="1899-12-30T15:00:00"/>
    <d v="1899-12-30T23:00:00"/>
    <n v="8"/>
    <x v="1"/>
    <x v="17"/>
    <x v="1"/>
    <s v="Ahmad"/>
    <x v="0"/>
    <s v="Sam"/>
    <n v="5"/>
  </r>
  <r>
    <x v="16"/>
    <x v="1"/>
    <d v="1899-12-30T15:00:00"/>
    <d v="1899-12-30T23:00:00"/>
    <n v="8"/>
    <x v="5"/>
    <x v="18"/>
    <x v="7"/>
    <s v="Wana"/>
    <x v="1"/>
    <s v="Rasyid"/>
    <n v="5"/>
  </r>
  <r>
    <x v="17"/>
    <x v="1"/>
    <d v="1899-12-30T15:00:00"/>
    <d v="1899-12-30T23:00:00"/>
    <n v="8"/>
    <x v="6"/>
    <x v="19"/>
    <x v="6"/>
    <s v="Zurry"/>
    <x v="3"/>
    <s v="Rahim"/>
    <n v="6"/>
  </r>
  <r>
    <x v="18"/>
    <x v="1"/>
    <d v="1899-12-30T15:00:00"/>
    <d v="1899-12-30T23:00:00"/>
    <n v="8"/>
    <x v="7"/>
    <x v="20"/>
    <x v="8"/>
    <s v="Sarah"/>
    <x v="4"/>
    <s v="Yusri"/>
    <n v="7"/>
  </r>
  <r>
    <x v="18"/>
    <x v="0"/>
    <d v="1899-12-30T07:00:00"/>
    <d v="1899-12-30T15:00:00"/>
    <n v="8"/>
    <x v="3"/>
    <x v="15"/>
    <x v="3"/>
    <s v="Hasan"/>
    <x v="2"/>
    <s v="Rena"/>
    <n v="7"/>
  </r>
  <r>
    <x v="19"/>
    <x v="1"/>
    <d v="1899-12-30T15:00:00"/>
    <d v="1899-12-30T23:00:00"/>
    <n v="8"/>
    <x v="7"/>
    <x v="21"/>
    <x v="8"/>
    <s v="Sarah"/>
    <x v="4"/>
    <s v="Aina"/>
    <n v="6"/>
  </r>
  <r>
    <x v="20"/>
    <x v="1"/>
    <d v="1899-12-30T15:00:00"/>
    <d v="1899-12-30T23:00:00"/>
    <n v="8"/>
    <x v="0"/>
    <x v="10"/>
    <x v="0"/>
    <s v="Ahmad"/>
    <x v="0"/>
    <s v="Bujang"/>
    <n v="5"/>
  </r>
  <r>
    <x v="21"/>
    <x v="0"/>
    <d v="1899-12-30T07:00:00"/>
    <d v="1899-12-30T15:00:00"/>
    <n v="8"/>
    <x v="0"/>
    <x v="22"/>
    <x v="0"/>
    <s v="Ahmad"/>
    <x v="0"/>
    <s v="Hana"/>
    <n v="7"/>
  </r>
  <r>
    <x v="22"/>
    <x v="0"/>
    <d v="1899-12-30T07:00:00"/>
    <d v="1899-12-30T15:00:00"/>
    <n v="8"/>
    <x v="5"/>
    <x v="23"/>
    <x v="7"/>
    <s v="Wana"/>
    <x v="1"/>
    <s v="Zen"/>
    <n v="6"/>
  </r>
  <r>
    <x v="23"/>
    <x v="0"/>
    <d v="1899-12-30T07:00:00"/>
    <d v="1899-12-30T13:00:00"/>
    <n v="8"/>
    <x v="3"/>
    <x v="24"/>
    <x v="3"/>
    <s v="Hasan"/>
    <x v="2"/>
    <s v="Mina"/>
    <n v="6"/>
  </r>
  <r>
    <x v="24"/>
    <x v="0"/>
    <d v="1899-12-30T07:00:00"/>
    <d v="1899-12-30T15:00:00"/>
    <n v="8"/>
    <x v="1"/>
    <x v="25"/>
    <x v="1"/>
    <s v="Ahmad"/>
    <x v="0"/>
    <s v="Saleh"/>
    <n v="6"/>
  </r>
  <r>
    <x v="25"/>
    <x v="0"/>
    <d v="1899-12-30T07:00:00"/>
    <d v="1899-12-30T15:00:00"/>
    <n v="8"/>
    <x v="0"/>
    <x v="26"/>
    <x v="0"/>
    <s v="Ahmad"/>
    <x v="0"/>
    <s v="Sam"/>
    <n v="7"/>
  </r>
  <r>
    <x v="26"/>
    <x v="0"/>
    <d v="1899-12-30T07:00:00"/>
    <d v="1899-12-30T15:00:00"/>
    <n v="8"/>
    <x v="5"/>
    <x v="27"/>
    <x v="7"/>
    <s v="Wana"/>
    <x v="1"/>
    <s v="Rasyid"/>
    <n v="7"/>
  </r>
  <r>
    <x v="27"/>
    <x v="0"/>
    <d v="1899-12-30T07:00:00"/>
    <d v="1899-12-30T15:00:00"/>
    <n v="8"/>
    <x v="3"/>
    <x v="28"/>
    <x v="3"/>
    <s v="Hasan"/>
    <x v="2"/>
    <s v="Rahim"/>
    <n v="7"/>
  </r>
  <r>
    <x v="27"/>
    <x v="1"/>
    <d v="1899-12-30T15:00:00"/>
    <d v="1899-12-30T23:00:00"/>
    <n v="8"/>
    <x v="5"/>
    <x v="27"/>
    <x v="7"/>
    <s v="Wana"/>
    <x v="1"/>
    <s v="Yusri"/>
    <n v="7"/>
  </r>
  <r>
    <x v="28"/>
    <x v="1"/>
    <d v="1899-12-30T15:00:00"/>
    <d v="1899-12-30T23:00:00"/>
    <n v="8"/>
    <x v="1"/>
    <x v="17"/>
    <x v="1"/>
    <s v="Ahmad"/>
    <x v="0"/>
    <s v="Rena"/>
    <n v="8"/>
  </r>
  <r>
    <x v="29"/>
    <x v="1"/>
    <d v="1899-12-30T15:00:00"/>
    <d v="1899-12-30T23:00:00"/>
    <n v="8"/>
    <x v="2"/>
    <x v="29"/>
    <x v="2"/>
    <s v="Wana"/>
    <x v="1"/>
    <s v="Aina"/>
    <n v="9"/>
  </r>
  <r>
    <x v="30"/>
    <x v="1"/>
    <d v="1899-12-30T15:00:00"/>
    <d v="1899-12-30T23:00:00"/>
    <n v="8"/>
    <x v="6"/>
    <x v="30"/>
    <x v="6"/>
    <s v="Zurry"/>
    <x v="3"/>
    <s v="Bujang"/>
    <n v="8"/>
  </r>
  <r>
    <x v="31"/>
    <x v="1"/>
    <d v="1899-12-30T15:00:00"/>
    <d v="1899-12-30T23:00:00"/>
    <n v="8"/>
    <x v="7"/>
    <x v="31"/>
    <x v="8"/>
    <s v="Sarah"/>
    <x v="4"/>
    <s v="Hana"/>
    <n v="7"/>
  </r>
  <r>
    <x v="32"/>
    <x v="1"/>
    <d v="1899-12-30T15:00:00"/>
    <d v="1899-12-30T23:00:00"/>
    <n v="8"/>
    <x v="0"/>
    <x v="26"/>
    <x v="0"/>
    <s v="Ahmad"/>
    <x v="0"/>
    <s v="Zen"/>
    <n v="9"/>
  </r>
  <r>
    <x v="33"/>
    <x v="1"/>
    <d v="1899-12-30T15:00:00"/>
    <d v="1899-12-30T23:00:00"/>
    <n v="8"/>
    <x v="5"/>
    <x v="32"/>
    <x v="7"/>
    <s v="Wana"/>
    <x v="1"/>
    <s v="Mina"/>
    <n v="1"/>
  </r>
  <r>
    <x v="34"/>
    <x v="1"/>
    <d v="1899-12-30T15:00:00"/>
    <d v="1899-12-30T23:00:00"/>
    <n v="8"/>
    <x v="4"/>
    <x v="33"/>
    <x v="4"/>
    <s v="Zurry"/>
    <x v="3"/>
    <s v="Saleh"/>
    <n v="3"/>
  </r>
  <r>
    <x v="35"/>
    <x v="1"/>
    <d v="1899-12-30T15:00:00"/>
    <d v="1899-12-30T23:00:00"/>
    <n v="8"/>
    <x v="3"/>
    <x v="34"/>
    <x v="3"/>
    <s v="Hasan"/>
    <x v="2"/>
    <s v="Sam"/>
    <n v="6"/>
  </r>
  <r>
    <x v="36"/>
    <x v="1"/>
    <d v="1899-12-30T15:00:00"/>
    <d v="1899-12-30T23:00:00"/>
    <n v="8"/>
    <x v="1"/>
    <x v="25"/>
    <x v="1"/>
    <s v="Ahmad"/>
    <x v="0"/>
    <s v="Rasyid"/>
    <n v="3"/>
  </r>
  <r>
    <x v="37"/>
    <x v="1"/>
    <d v="1899-12-30T15:00:00"/>
    <d v="1899-12-30T23:00:00"/>
    <n v="8"/>
    <x v="7"/>
    <x v="35"/>
    <x v="8"/>
    <s v="Sarah"/>
    <x v="4"/>
    <s v="Rahim"/>
    <n v="8"/>
  </r>
  <r>
    <x v="38"/>
    <x v="1"/>
    <d v="1899-12-30T15:00:00"/>
    <d v="1899-12-30T23:00:00"/>
    <n v="8"/>
    <x v="1"/>
    <x v="36"/>
    <x v="1"/>
    <s v="Ahmad"/>
    <x v="0"/>
    <s v="Yusri"/>
    <n v="4"/>
  </r>
  <r>
    <x v="38"/>
    <x v="1"/>
    <d v="1899-12-30T15:00:00"/>
    <d v="1899-12-30T23:00:00"/>
    <n v="8"/>
    <x v="4"/>
    <x v="37"/>
    <x v="4"/>
    <s v="Zurry"/>
    <x v="3"/>
    <s v="Rena"/>
    <n v="5"/>
  </r>
  <r>
    <x v="39"/>
    <x v="1"/>
    <d v="1899-12-30T15:00:00"/>
    <d v="1899-12-30T23:00:00"/>
    <n v="8"/>
    <x v="7"/>
    <x v="16"/>
    <x v="8"/>
    <s v="Sarah"/>
    <x v="4"/>
    <s v="Aina"/>
    <n v="6"/>
  </r>
  <r>
    <x v="40"/>
    <x v="1"/>
    <d v="1899-12-30T15:00:00"/>
    <d v="1899-12-30T23:00:00"/>
    <n v="8"/>
    <x v="2"/>
    <x v="38"/>
    <x v="2"/>
    <s v="Wana"/>
    <x v="1"/>
    <s v="Bujang"/>
    <n v="4"/>
  </r>
  <r>
    <x v="41"/>
    <x v="0"/>
    <d v="1899-12-30T07:00:00"/>
    <d v="1899-12-30T15:00:00"/>
    <n v="8"/>
    <x v="0"/>
    <x v="13"/>
    <x v="0"/>
    <s v="Ahmad"/>
    <x v="0"/>
    <s v="Hana"/>
    <n v="6"/>
  </r>
  <r>
    <x v="42"/>
    <x v="1"/>
    <d v="1899-12-30T15:00:00"/>
    <d v="1899-12-30T23:00:00"/>
    <n v="8"/>
    <x v="3"/>
    <x v="39"/>
    <x v="3"/>
    <s v="Hasan"/>
    <x v="2"/>
    <s v="Zen"/>
    <n v="5"/>
  </r>
  <r>
    <x v="42"/>
    <x v="0"/>
    <d v="1899-12-30T07:00:00"/>
    <d v="1899-12-30T15:00:00"/>
    <n v="8"/>
    <x v="0"/>
    <x v="22"/>
    <x v="0"/>
    <s v="Ahmad"/>
    <x v="0"/>
    <s v="Mina"/>
    <n v="6"/>
  </r>
  <r>
    <x v="43"/>
    <x v="0"/>
    <d v="1899-12-30T07:00:00"/>
    <d v="1899-12-30T15:00:00"/>
    <n v="8"/>
    <x v="5"/>
    <x v="32"/>
    <x v="7"/>
    <s v="Wana"/>
    <x v="1"/>
    <s v="Saleh"/>
    <n v="6"/>
  </r>
  <r>
    <x v="44"/>
    <x v="0"/>
    <d v="1899-12-30T07:00:00"/>
    <d v="1899-12-30T15:00:00"/>
    <n v="8"/>
    <x v="1"/>
    <x v="40"/>
    <x v="1"/>
    <s v="Ahmad"/>
    <x v="0"/>
    <s v="Sam"/>
    <n v="7"/>
  </r>
  <r>
    <x v="45"/>
    <x v="1"/>
    <d v="1899-12-30T15:00:00"/>
    <d v="1899-12-30T23:00:00"/>
    <n v="8"/>
    <x v="6"/>
    <x v="7"/>
    <x v="6"/>
    <s v="Zurry"/>
    <x v="3"/>
    <s v="Rasyid"/>
    <n v="7"/>
  </r>
  <r>
    <x v="46"/>
    <x v="1"/>
    <d v="1899-12-30T15:00:00"/>
    <d v="1899-12-30T23:00:00"/>
    <n v="8"/>
    <x v="4"/>
    <x v="41"/>
    <x v="4"/>
    <s v="Zurry"/>
    <x v="3"/>
    <s v="Rahim"/>
    <n v="5"/>
  </r>
  <r>
    <x v="47"/>
    <x v="1"/>
    <d v="1899-12-30T15:00:00"/>
    <d v="1899-12-30T23:00:00"/>
    <n v="8"/>
    <x v="2"/>
    <x v="38"/>
    <x v="2"/>
    <s v="Wana"/>
    <x v="1"/>
    <s v="Yusri"/>
    <n v="5"/>
  </r>
  <r>
    <x v="48"/>
    <x v="1"/>
    <d v="1899-12-30T15:00:00"/>
    <d v="1899-12-30T23:00:00"/>
    <n v="8"/>
    <x v="7"/>
    <x v="21"/>
    <x v="8"/>
    <s v="Sarah"/>
    <x v="4"/>
    <s v="Naim"/>
    <n v="5"/>
  </r>
  <r>
    <x v="49"/>
    <x v="0"/>
    <d v="1899-12-30T07:00:00"/>
    <d v="1899-12-30T15:00:00"/>
    <n v="8"/>
    <x v="4"/>
    <x v="12"/>
    <x v="4"/>
    <s v="Zurry"/>
    <x v="3"/>
    <s v="Rena"/>
    <n v="4"/>
  </r>
  <r>
    <x v="50"/>
    <x v="0"/>
    <d v="1899-12-30T07:00:00"/>
    <d v="1899-12-30T15:00:00"/>
    <n v="8"/>
    <x v="2"/>
    <x v="42"/>
    <x v="2"/>
    <s v="Wana"/>
    <x v="1"/>
    <s v="Aina"/>
    <n v="4"/>
  </r>
  <r>
    <x v="51"/>
    <x v="0"/>
    <d v="1899-12-30T07:00:00"/>
    <d v="1899-12-30T15:00:00"/>
    <n v="8"/>
    <x v="3"/>
    <x v="39"/>
    <x v="3"/>
    <s v="Hasan"/>
    <x v="2"/>
    <s v="Bujang"/>
    <n v="4"/>
  </r>
  <r>
    <x v="52"/>
    <x v="1"/>
    <d v="1899-12-30T15:00:00"/>
    <d v="1899-12-30T23:00:00"/>
    <n v="8"/>
    <x v="0"/>
    <x v="43"/>
    <x v="0"/>
    <s v="Ahmad"/>
    <x v="0"/>
    <s v="Hana"/>
    <n v="4"/>
  </r>
  <r>
    <x v="53"/>
    <x v="0"/>
    <d v="1899-12-30T07:00:00"/>
    <d v="1899-12-30T15:00:00"/>
    <n v="8"/>
    <x v="6"/>
    <x v="19"/>
    <x v="6"/>
    <s v="Zurry"/>
    <x v="3"/>
    <s v="Zen"/>
    <n v="4"/>
  </r>
  <r>
    <x v="54"/>
    <x v="1"/>
    <d v="1899-12-30T15:00:00"/>
    <d v="1899-12-30T23:00:00"/>
    <n v="8"/>
    <x v="3"/>
    <x v="44"/>
    <x v="3"/>
    <s v="Hasan"/>
    <x v="2"/>
    <s v="Mina"/>
    <n v="6"/>
  </r>
  <r>
    <x v="55"/>
    <x v="1"/>
    <d v="1899-12-30T15:00:00"/>
    <d v="1899-12-30T23:00:00"/>
    <n v="8"/>
    <x v="2"/>
    <x v="29"/>
    <x v="2"/>
    <s v="Wana"/>
    <x v="1"/>
    <s v="Saleh"/>
    <n v="7"/>
  </r>
  <r>
    <x v="56"/>
    <x v="1"/>
    <d v="1899-12-30T15:00:00"/>
    <d v="1899-12-30T23:00:00"/>
    <n v="8"/>
    <x v="7"/>
    <x v="35"/>
    <x v="8"/>
    <s v="Sarah"/>
    <x v="4"/>
    <s v="Sam"/>
    <n v="6"/>
  </r>
  <r>
    <x v="57"/>
    <x v="1"/>
    <d v="1899-12-30T15:00:00"/>
    <d v="1899-12-30T23:00:00"/>
    <n v="8"/>
    <x v="1"/>
    <x v="40"/>
    <x v="1"/>
    <s v="Ahmad"/>
    <x v="0"/>
    <s v="Rasyid"/>
    <n v="7"/>
  </r>
  <r>
    <x v="58"/>
    <x v="1"/>
    <d v="1899-12-30T15:00:00"/>
    <d v="1899-12-30T23:00:00"/>
    <n v="8"/>
    <x v="4"/>
    <x v="45"/>
    <x v="4"/>
    <s v="Zurry"/>
    <x v="3"/>
    <s v="Rahim"/>
    <n v="9"/>
  </r>
  <r>
    <x v="59"/>
    <x v="1"/>
    <d v="1899-12-30T15:00:00"/>
    <d v="1899-12-30T23:00:00"/>
    <n v="8"/>
    <x v="3"/>
    <x v="24"/>
    <x v="3"/>
    <s v="Hasan"/>
    <x v="2"/>
    <s v="Yusri"/>
    <n v="9"/>
  </r>
  <r>
    <x v="60"/>
    <x v="0"/>
    <d v="1899-12-30T07:00:00"/>
    <d v="1899-12-30T15:00:00"/>
    <n v="8"/>
    <x v="7"/>
    <x v="20"/>
    <x v="8"/>
    <s v="Sarah"/>
    <x v="4"/>
    <s v="Naim"/>
    <n v="9"/>
  </r>
  <r>
    <x v="61"/>
    <x v="1"/>
    <d v="1899-12-30T15:00:00"/>
    <d v="1899-12-30T23:00:00"/>
    <n v="8"/>
    <x v="1"/>
    <x v="36"/>
    <x v="1"/>
    <s v="Ahmad"/>
    <x v="0"/>
    <s v="Rena"/>
    <n v="10"/>
  </r>
  <r>
    <x v="61"/>
    <x v="0"/>
    <d v="1899-12-30T07:00:00"/>
    <d v="1899-12-30T14:00:00"/>
    <n v="8"/>
    <x v="1"/>
    <x v="46"/>
    <x v="1"/>
    <s v="Ahmad"/>
    <x v="0"/>
    <s v="Aina"/>
    <n v="8"/>
  </r>
  <r>
    <x v="62"/>
    <x v="0"/>
    <d v="1899-12-30T07:00:00"/>
    <d v="1899-12-30T15:00:00"/>
    <n v="8"/>
    <x v="5"/>
    <x v="14"/>
    <x v="7"/>
    <s v="Wana"/>
    <x v="1"/>
    <s v="Bujang"/>
    <n v="6"/>
  </r>
  <r>
    <x v="63"/>
    <x v="1"/>
    <d v="1899-12-30T15:00:00"/>
    <d v="1899-12-30T21:00:00"/>
    <n v="8"/>
    <x v="0"/>
    <x v="47"/>
    <x v="0"/>
    <s v="Ahmad"/>
    <x v="0"/>
    <s v="Hana"/>
    <n v="7"/>
  </r>
  <r>
    <x v="64"/>
    <x v="1"/>
    <d v="1899-12-30T15:00:00"/>
    <d v="1899-12-30T23:00:00"/>
    <n v="8"/>
    <x v="2"/>
    <x v="48"/>
    <x v="2"/>
    <s v="Wana"/>
    <x v="1"/>
    <s v="Zen"/>
    <n v="9"/>
  </r>
  <r>
    <x v="64"/>
    <x v="1"/>
    <d v="1899-12-30T15:00:00"/>
    <d v="1899-12-30T22:00:00"/>
    <n v="8"/>
    <x v="0"/>
    <x v="43"/>
    <x v="0"/>
    <s v="Ahmad"/>
    <x v="0"/>
    <s v="Mina"/>
    <n v="6"/>
  </r>
  <r>
    <x v="64"/>
    <x v="0"/>
    <d v="1899-12-30T07:00:00"/>
    <d v="1899-12-30T15:00:00"/>
    <n v="8"/>
    <x v="3"/>
    <x v="49"/>
    <x v="3"/>
    <s v="Hasan"/>
    <x v="2"/>
    <s v="Saleh"/>
    <n v="7"/>
  </r>
  <r>
    <x v="65"/>
    <x v="1"/>
    <d v="1899-12-30T15:00:00"/>
    <d v="1899-12-30T23:00:00"/>
    <n v="8"/>
    <x v="7"/>
    <x v="31"/>
    <x v="8"/>
    <s v="Sarah"/>
    <x v="4"/>
    <s v="Sam"/>
    <n v="9"/>
  </r>
  <r>
    <x v="66"/>
    <x v="0"/>
    <d v="1899-12-30T07:00:00"/>
    <d v="1899-12-30T15:00:00"/>
    <n v="8"/>
    <x v="1"/>
    <x v="46"/>
    <x v="1"/>
    <s v="Ahmad"/>
    <x v="0"/>
    <s v="Rasyid"/>
    <n v="8"/>
  </r>
  <r>
    <x v="67"/>
    <x v="1"/>
    <d v="1899-12-30T15:00:00"/>
    <d v="1899-12-30T23:00:00"/>
    <n v="8"/>
    <x v="5"/>
    <x v="6"/>
    <x v="7"/>
    <s v="Wana"/>
    <x v="1"/>
    <s v="Rahim"/>
    <n v="8"/>
  </r>
  <r>
    <x v="68"/>
    <x v="0"/>
    <d v="1899-12-30T07:00:00"/>
    <d v="1899-12-30T15:00:00"/>
    <n v="8"/>
    <x v="6"/>
    <x v="50"/>
    <x v="6"/>
    <s v="Zurry"/>
    <x v="3"/>
    <s v="Yusri"/>
    <n v="7"/>
  </r>
  <r>
    <x v="69"/>
    <x v="0"/>
    <d v="1899-12-30T07:00:00"/>
    <d v="1899-12-30T15:00:00"/>
    <n v="8"/>
    <x v="3"/>
    <x v="51"/>
    <x v="3"/>
    <s v="Hasan"/>
    <x v="2"/>
    <s v="Naim"/>
    <n v="6"/>
  </r>
  <r>
    <x v="69"/>
    <x v="0"/>
    <d v="1899-12-30T07:00:00"/>
    <d v="1899-12-30T15:00:00"/>
    <n v="8"/>
    <x v="6"/>
    <x v="30"/>
    <x v="6"/>
    <s v="Zurry"/>
    <x v="3"/>
    <s v="Rena"/>
    <n v="4"/>
  </r>
  <r>
    <x v="70"/>
    <x v="1"/>
    <d v="1899-12-30T15:00:00"/>
    <d v="1899-12-30T23:00:00"/>
    <n v="8"/>
    <x v="2"/>
    <x v="42"/>
    <x v="2"/>
    <s v="Wana"/>
    <x v="1"/>
    <s v="Aina"/>
    <n v="7"/>
  </r>
  <r>
    <x v="71"/>
    <x v="1"/>
    <d v="1899-12-30T15:00:00"/>
    <d v="1899-12-30T23:00:00"/>
    <n v="8"/>
    <x v="0"/>
    <x v="47"/>
    <x v="0"/>
    <s v="Ahmad"/>
    <x v="0"/>
    <s v="Bujang"/>
    <n v="6"/>
  </r>
  <r>
    <x v="72"/>
    <x v="0"/>
    <d v="1899-12-30T07:00:00"/>
    <d v="1899-12-30T15:00:00"/>
    <n v="8"/>
    <x v="4"/>
    <x v="37"/>
    <x v="4"/>
    <s v="Zurry"/>
    <x v="3"/>
    <s v="Hana"/>
    <n v="5"/>
  </r>
  <r>
    <x v="73"/>
    <x v="1"/>
    <d v="1899-12-30T15:00:00"/>
    <d v="1899-12-30T23:00:00"/>
    <n v="8"/>
    <x v="2"/>
    <x v="48"/>
    <x v="2"/>
    <s v="Wana"/>
    <x v="1"/>
    <s v="Zen"/>
    <n v="7"/>
  </r>
  <r>
    <x v="74"/>
    <x v="1"/>
    <d v="1899-12-30T15:00:00"/>
    <d v="1899-12-30T23:00:00"/>
    <n v="8"/>
    <x v="7"/>
    <x v="52"/>
    <x v="8"/>
    <s v="Sarah"/>
    <x v="4"/>
    <s v="Mina"/>
    <n v="10"/>
  </r>
  <r>
    <x v="75"/>
    <x v="0"/>
    <d v="1899-12-30T07:00:00"/>
    <d v="1899-12-30T15:00:00"/>
    <n v="8"/>
    <x v="3"/>
    <x v="53"/>
    <x v="3"/>
    <s v="Hasan"/>
    <x v="2"/>
    <s v="Saleh"/>
    <n v="8"/>
  </r>
  <r>
    <x v="76"/>
    <x v="1"/>
    <d v="1899-12-30T15:00:00"/>
    <d v="1899-12-30T23:00:00"/>
    <n v="8"/>
    <x v="0"/>
    <x v="54"/>
    <x v="0"/>
    <s v="Ahmad"/>
    <x v="0"/>
    <s v="Sam"/>
    <n v="8"/>
  </r>
  <r>
    <x v="77"/>
    <x v="1"/>
    <d v="1899-12-30T15:00:00"/>
    <d v="1899-12-30T23:00:00"/>
    <n v="8"/>
    <x v="6"/>
    <x v="50"/>
    <x v="6"/>
    <s v="Zurry"/>
    <x v="3"/>
    <s v="Rasyid"/>
    <n v="7"/>
  </r>
  <r>
    <x v="78"/>
    <x v="1"/>
    <d v="1899-12-30T15:00:00"/>
    <d v="1899-12-30T23:00:00"/>
    <n v="8"/>
    <x v="1"/>
    <x v="11"/>
    <x v="1"/>
    <s v="Ahmad"/>
    <x v="0"/>
    <s v="Rahim"/>
    <n v="3"/>
  </r>
  <r>
    <x v="79"/>
    <x v="1"/>
    <d v="1899-12-30T15:00:00"/>
    <d v="1899-12-30T23:00:00"/>
    <n v="8"/>
    <x v="3"/>
    <x v="51"/>
    <x v="3"/>
    <s v="Hasan"/>
    <x v="2"/>
    <s v="Yusri"/>
    <n v="8"/>
  </r>
  <r>
    <x v="80"/>
    <x v="0"/>
    <d v="1899-12-30T07:00:00"/>
    <d v="1899-12-30T15:00:00"/>
    <n v="8"/>
    <x v="5"/>
    <x v="23"/>
    <x v="7"/>
    <s v="Wana"/>
    <x v="1"/>
    <s v="Naim"/>
    <n v="5"/>
  </r>
  <r>
    <x v="81"/>
    <x v="0"/>
    <d v="1899-12-30T07:00:00"/>
    <d v="1899-12-30T15:00:00"/>
    <n v="8"/>
    <x v="4"/>
    <x v="45"/>
    <x v="4"/>
    <s v="Zurry"/>
    <x v="3"/>
    <s v="Rena"/>
    <n v="6"/>
  </r>
  <r>
    <x v="82"/>
    <x v="0"/>
    <d v="1899-12-30T07:00:00"/>
    <d v="1899-12-30T15:00:00"/>
    <n v="8"/>
    <x v="7"/>
    <x v="52"/>
    <x v="8"/>
    <s v="Sarah"/>
    <x v="4"/>
    <s v="Aina"/>
    <n v="9"/>
  </r>
  <r>
    <x v="83"/>
    <x v="1"/>
    <d v="1899-12-30T15:00:00"/>
    <d v="1899-12-30T23:00:00"/>
    <n v="8"/>
    <x v="0"/>
    <x v="55"/>
    <x v="0"/>
    <s v="Ahmad"/>
    <x v="0"/>
    <s v="Bujang"/>
    <n v="2"/>
  </r>
  <r>
    <x v="84"/>
    <x v="0"/>
    <d v="1899-12-30T07:00:00"/>
    <d v="1899-12-30T15:00:00"/>
    <n v="8"/>
    <x v="7"/>
    <x v="56"/>
    <x v="8"/>
    <s v="Sarah"/>
    <x v="4"/>
    <s v="Hana"/>
    <n v="5"/>
  </r>
  <r>
    <x v="85"/>
    <x v="1"/>
    <d v="1899-12-30T15:00:00"/>
    <d v="1899-12-30T23:00:00"/>
    <n v="8"/>
    <x v="7"/>
    <x v="56"/>
    <x v="8"/>
    <s v="Sarah"/>
    <x v="4"/>
    <s v="Zen"/>
    <n v="1"/>
  </r>
  <r>
    <x v="86"/>
    <x v="1"/>
    <d v="1899-12-30T15:00:00"/>
    <d v="1899-12-30T23:00:00"/>
    <n v="8"/>
    <x v="1"/>
    <x v="57"/>
    <x v="1"/>
    <s v="Ahmad"/>
    <x v="0"/>
    <s v="Mina"/>
    <n v="5"/>
  </r>
  <r>
    <x v="87"/>
    <x v="0"/>
    <d v="1899-12-30T07:00:00"/>
    <d v="1899-12-30T15:00:00"/>
    <n v="8"/>
    <x v="2"/>
    <x v="9"/>
    <x v="2"/>
    <s v="Wana"/>
    <x v="1"/>
    <s v="Saleh"/>
    <n v="3"/>
  </r>
  <r>
    <x v="88"/>
    <x v="0"/>
    <d v="1899-12-30T07:00:00"/>
    <d v="1899-12-30T15:00:00"/>
    <n v="8"/>
    <x v="5"/>
    <x v="18"/>
    <x v="7"/>
    <s v="Wana"/>
    <x v="1"/>
    <s v="Sam"/>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5" colHeaderCaption="Date">
  <location ref="A3:F11" firstHeaderRow="1" firstDataRow="3" firstDataCol="1"/>
  <pivotFields count="14">
    <pivotField axis="axisCol" numFmtId="14" showAll="0">
      <items count="15">
        <item h="1" x="0"/>
        <item h="1" x="1"/>
        <item h="1" x="2"/>
        <item x="3"/>
        <item x="4"/>
        <item h="1" x="5"/>
        <item x="6"/>
        <item h="1" x="7"/>
        <item h="1" x="8"/>
        <item h="1" x="9"/>
        <item x="10"/>
        <item x="11"/>
        <item h="1" x="12"/>
        <item h="1" x="13"/>
        <item t="default"/>
      </items>
    </pivotField>
    <pivotField showAll="0">
      <items count="3">
        <item x="0"/>
        <item x="1"/>
        <item t="default"/>
      </items>
    </pivotField>
    <pivotField numFmtId="164" showAll="0"/>
    <pivotField numFmtId="164" showAll="0"/>
    <pivotField showAll="0"/>
    <pivotField showAll="0"/>
    <pivotField showAll="0">
      <items count="59">
        <item h="1" x="2"/>
        <item h="1" x="0"/>
        <item h="1" x="45"/>
        <item h="1" x="19"/>
        <item h="1" x="1"/>
        <item h="1" x="47"/>
        <item h="1" x="12"/>
        <item h="1" x="57"/>
        <item h="1" x="51"/>
        <item h="1" x="6"/>
        <item h="1" x="27"/>
        <item x="20"/>
        <item h="1" x="25"/>
        <item x="23"/>
        <item h="1" x="41"/>
        <item h="1" x="18"/>
        <item x="15"/>
        <item h="1" x="33"/>
        <item h="1" x="42"/>
        <item h="1" x="3"/>
        <item h="1" x="8"/>
        <item h="1" x="54"/>
        <item h="1" x="30"/>
        <item h="1" x="28"/>
        <item h="1" x="34"/>
        <item h="1" x="14"/>
        <item h="1" x="35"/>
        <item h="1" x="46"/>
        <item h="1" x="50"/>
        <item x="5"/>
        <item h="1" x="10"/>
        <item h="1" x="48"/>
        <item h="1" x="29"/>
        <item h="1" x="7"/>
        <item h="1" x="4"/>
        <item h="1" x="44"/>
        <item h="1" x="49"/>
        <item x="31"/>
        <item h="1" x="13"/>
        <item x="22"/>
        <item h="1" x="16"/>
        <item h="1" x="56"/>
        <item h="1" x="21"/>
        <item h="1" x="40"/>
        <item h="1" x="43"/>
        <item h="1" x="17"/>
        <item h="1" x="38"/>
        <item h="1" x="37"/>
        <item h="1" x="52"/>
        <item h="1" x="36"/>
        <item h="1" x="53"/>
        <item h="1" x="9"/>
        <item h="1" x="24"/>
        <item h="1" x="26"/>
        <item h="1" x="11"/>
        <item h="1" x="32"/>
        <item h="1" x="39"/>
        <item h="1" x="55"/>
        <item t="default"/>
      </items>
    </pivotField>
    <pivotField showAll="0">
      <items count="10">
        <item h="1" x="5"/>
        <item x="7"/>
        <item h="1" x="2"/>
        <item x="4"/>
        <item x="0"/>
        <item x="8"/>
        <item x="3"/>
        <item h="1" x="1"/>
        <item h="1" x="6"/>
        <item t="default"/>
      </items>
    </pivotField>
    <pivotField showAll="0"/>
    <pivotField axis="axisRow" showAll="0">
      <items count="6">
        <item x="0"/>
        <item x="1"/>
        <item x="3"/>
        <item x="4"/>
        <item x="2"/>
        <item t="default"/>
      </items>
    </pivotField>
    <pivotField showAll="0"/>
    <pivotField dataField="1" showAll="0"/>
    <pivotField showAll="0">
      <items count="7">
        <item sd="0" x="0"/>
        <item sd="0" x="1"/>
        <item sd="0" x="2"/>
        <item sd="0" x="3"/>
        <item sd="0" x="4"/>
        <item sd="0" x="5"/>
        <item t="default"/>
      </items>
    </pivotField>
    <pivotField axis="axisCol" showAll="0">
      <items count="6">
        <item h="1" sd="0" x="0"/>
        <item x="1"/>
        <item h="1" x="2"/>
        <item h="1" x="3"/>
        <item h="1" sd="0" x="4"/>
        <item t="default"/>
      </items>
    </pivotField>
  </pivotFields>
  <rowFields count="1">
    <field x="9"/>
  </rowFields>
  <rowItems count="6">
    <i>
      <x/>
    </i>
    <i>
      <x v="1"/>
    </i>
    <i>
      <x v="2"/>
    </i>
    <i>
      <x v="3"/>
    </i>
    <i>
      <x v="4"/>
    </i>
    <i t="grand">
      <x/>
    </i>
  </rowItems>
  <colFields count="2">
    <field x="13"/>
    <field x="0"/>
  </colFields>
  <colItems count="5">
    <i>
      <x v="1"/>
      <x v="4"/>
    </i>
    <i r="1">
      <x v="10"/>
    </i>
    <i r="1">
      <x v="11"/>
    </i>
    <i t="default">
      <x v="1"/>
    </i>
    <i t="grand">
      <x/>
    </i>
  </colItems>
  <dataFields count="1">
    <dataField name="Service Rating by Date" fld="11" baseField="0" baseItem="0"/>
  </dataFields>
  <chartFormats count="66">
    <chartFormat chart="51" format="0" series="1">
      <pivotArea type="data" outline="0" fieldPosition="0">
        <references count="3">
          <reference field="4294967294" count="1" selected="0">
            <x v="0"/>
          </reference>
          <reference field="0" count="1" selected="0">
            <x v="1"/>
          </reference>
          <reference field="13" count="1" selected="0">
            <x v="1"/>
          </reference>
        </references>
      </pivotArea>
    </chartFormat>
    <chartFormat chart="51" format="1" series="1">
      <pivotArea type="data" outline="0" fieldPosition="0">
        <references count="3">
          <reference field="4294967294" count="1" selected="0">
            <x v="0"/>
          </reference>
          <reference field="0" count="1" selected="0">
            <x v="3"/>
          </reference>
          <reference field="13" count="1" selected="0">
            <x v="1"/>
          </reference>
        </references>
      </pivotArea>
    </chartFormat>
    <chartFormat chart="51" format="2" series="1">
      <pivotArea type="data" outline="0" fieldPosition="0">
        <references count="3">
          <reference field="4294967294" count="1" selected="0">
            <x v="0"/>
          </reference>
          <reference field="0" count="1" selected="0">
            <x v="4"/>
          </reference>
          <reference field="13" count="1" selected="0">
            <x v="1"/>
          </reference>
        </references>
      </pivotArea>
    </chartFormat>
    <chartFormat chart="51" format="3" series="1">
      <pivotArea type="data" outline="0" fieldPosition="0">
        <references count="3">
          <reference field="4294967294" count="1" selected="0">
            <x v="0"/>
          </reference>
          <reference field="0" count="1" selected="0">
            <x v="5"/>
          </reference>
          <reference field="13" count="1" selected="0">
            <x v="1"/>
          </reference>
        </references>
      </pivotArea>
    </chartFormat>
    <chartFormat chart="51" format="4" series="1">
      <pivotArea type="data" outline="0" fieldPosition="0">
        <references count="3">
          <reference field="4294967294" count="1" selected="0">
            <x v="0"/>
          </reference>
          <reference field="0" count="1" selected="0">
            <x v="6"/>
          </reference>
          <reference field="13" count="1" selected="0">
            <x v="1"/>
          </reference>
        </references>
      </pivotArea>
    </chartFormat>
    <chartFormat chart="51" format="5" series="1">
      <pivotArea type="data" outline="0" fieldPosition="0">
        <references count="3">
          <reference field="4294967294" count="1" selected="0">
            <x v="0"/>
          </reference>
          <reference field="0" count="1" selected="0">
            <x v="7"/>
          </reference>
          <reference field="13" count="1" selected="0">
            <x v="1"/>
          </reference>
        </references>
      </pivotArea>
    </chartFormat>
    <chartFormat chart="51" format="6" series="1">
      <pivotArea type="data" outline="0" fieldPosition="0">
        <references count="3">
          <reference field="4294967294" count="1" selected="0">
            <x v="0"/>
          </reference>
          <reference field="0" count="1" selected="0">
            <x v="8"/>
          </reference>
          <reference field="13" count="1" selected="0">
            <x v="1"/>
          </reference>
        </references>
      </pivotArea>
    </chartFormat>
    <chartFormat chart="51" format="7" series="1">
      <pivotArea type="data" outline="0" fieldPosition="0">
        <references count="3">
          <reference field="4294967294" count="1" selected="0">
            <x v="0"/>
          </reference>
          <reference field="0" count="1" selected="0">
            <x v="9"/>
          </reference>
          <reference field="13" count="1" selected="0">
            <x v="1"/>
          </reference>
        </references>
      </pivotArea>
    </chartFormat>
    <chartFormat chart="51" format="8" series="1">
      <pivotArea type="data" outline="0" fieldPosition="0">
        <references count="3">
          <reference field="4294967294" count="1" selected="0">
            <x v="0"/>
          </reference>
          <reference field="0" count="1" selected="0">
            <x v="10"/>
          </reference>
          <reference field="13" count="1" selected="0">
            <x v="1"/>
          </reference>
        </references>
      </pivotArea>
    </chartFormat>
    <chartFormat chart="51" format="9" series="1">
      <pivotArea type="data" outline="0" fieldPosition="0">
        <references count="3">
          <reference field="4294967294" count="1" selected="0">
            <x v="0"/>
          </reference>
          <reference field="0" count="1" selected="0">
            <x v="11"/>
          </reference>
          <reference field="13" count="1" selected="0">
            <x v="1"/>
          </reference>
        </references>
      </pivotArea>
    </chartFormat>
    <chartFormat chart="51" format="10" series="1">
      <pivotArea type="data" outline="0" fieldPosition="0">
        <references count="3">
          <reference field="4294967294" count="1" selected="0">
            <x v="0"/>
          </reference>
          <reference field="0" count="1" selected="0">
            <x v="12"/>
          </reference>
          <reference field="13" count="1" selected="0">
            <x v="1"/>
          </reference>
        </references>
      </pivotArea>
    </chartFormat>
    <chartFormat chart="51" format="11" series="1">
      <pivotArea type="data" outline="0" fieldPosition="0">
        <references count="3">
          <reference field="4294967294" count="1" selected="0">
            <x v="0"/>
          </reference>
          <reference field="0" count="1" selected="0">
            <x v="1"/>
          </reference>
          <reference field="13" count="1" selected="0">
            <x v="2"/>
          </reference>
        </references>
      </pivotArea>
    </chartFormat>
    <chartFormat chart="51" format="12" series="1">
      <pivotArea type="data" outline="0" fieldPosition="0">
        <references count="3">
          <reference field="4294967294" count="1" selected="0">
            <x v="0"/>
          </reference>
          <reference field="0" count="1" selected="0">
            <x v="2"/>
          </reference>
          <reference field="13" count="1" selected="0">
            <x v="2"/>
          </reference>
        </references>
      </pivotArea>
    </chartFormat>
    <chartFormat chart="51" format="13" series="1">
      <pivotArea type="data" outline="0" fieldPosition="0">
        <references count="3">
          <reference field="4294967294" count="1" selected="0">
            <x v="0"/>
          </reference>
          <reference field="0" count="1" selected="0">
            <x v="3"/>
          </reference>
          <reference field="13" count="1" selected="0">
            <x v="2"/>
          </reference>
        </references>
      </pivotArea>
    </chartFormat>
    <chartFormat chart="51" format="14" series="1">
      <pivotArea type="data" outline="0" fieldPosition="0">
        <references count="3">
          <reference field="4294967294" count="1" selected="0">
            <x v="0"/>
          </reference>
          <reference field="0" count="1" selected="0">
            <x v="4"/>
          </reference>
          <reference field="13" count="1" selected="0">
            <x v="2"/>
          </reference>
        </references>
      </pivotArea>
    </chartFormat>
    <chartFormat chart="51" format="15" series="1">
      <pivotArea type="data" outline="0" fieldPosition="0">
        <references count="3">
          <reference field="4294967294" count="1" selected="0">
            <x v="0"/>
          </reference>
          <reference field="0" count="1" selected="0">
            <x v="5"/>
          </reference>
          <reference field="13" count="1" selected="0">
            <x v="2"/>
          </reference>
        </references>
      </pivotArea>
    </chartFormat>
    <chartFormat chart="51" format="16" series="1">
      <pivotArea type="data" outline="0" fieldPosition="0">
        <references count="3">
          <reference field="4294967294" count="1" selected="0">
            <x v="0"/>
          </reference>
          <reference field="0" count="1" selected="0">
            <x v="6"/>
          </reference>
          <reference field="13" count="1" selected="0">
            <x v="2"/>
          </reference>
        </references>
      </pivotArea>
    </chartFormat>
    <chartFormat chart="51" format="17" series="1">
      <pivotArea type="data" outline="0" fieldPosition="0">
        <references count="3">
          <reference field="4294967294" count="1" selected="0">
            <x v="0"/>
          </reference>
          <reference field="0" count="1" selected="0">
            <x v="7"/>
          </reference>
          <reference field="13" count="1" selected="0">
            <x v="2"/>
          </reference>
        </references>
      </pivotArea>
    </chartFormat>
    <chartFormat chart="51" format="18" series="1">
      <pivotArea type="data" outline="0" fieldPosition="0">
        <references count="3">
          <reference field="4294967294" count="1" selected="0">
            <x v="0"/>
          </reference>
          <reference field="0" count="1" selected="0">
            <x v="8"/>
          </reference>
          <reference field="13" count="1" selected="0">
            <x v="2"/>
          </reference>
        </references>
      </pivotArea>
    </chartFormat>
    <chartFormat chart="51" format="19" series="1">
      <pivotArea type="data" outline="0" fieldPosition="0">
        <references count="3">
          <reference field="4294967294" count="1" selected="0">
            <x v="0"/>
          </reference>
          <reference field="0" count="1" selected="0">
            <x v="9"/>
          </reference>
          <reference field="13" count="1" selected="0">
            <x v="2"/>
          </reference>
        </references>
      </pivotArea>
    </chartFormat>
    <chartFormat chart="51" format="20" series="1">
      <pivotArea type="data" outline="0" fieldPosition="0">
        <references count="3">
          <reference field="4294967294" count="1" selected="0">
            <x v="0"/>
          </reference>
          <reference field="0" count="1" selected="0">
            <x v="10"/>
          </reference>
          <reference field="13" count="1" selected="0">
            <x v="2"/>
          </reference>
        </references>
      </pivotArea>
    </chartFormat>
    <chartFormat chart="51" format="21" series="1">
      <pivotArea type="data" outline="0" fieldPosition="0">
        <references count="3">
          <reference field="4294967294" count="1" selected="0">
            <x v="0"/>
          </reference>
          <reference field="0" count="1" selected="0">
            <x v="11"/>
          </reference>
          <reference field="13" count="1" selected="0">
            <x v="2"/>
          </reference>
        </references>
      </pivotArea>
    </chartFormat>
    <chartFormat chart="51" format="22" series="1">
      <pivotArea type="data" outline="0" fieldPosition="0">
        <references count="3">
          <reference field="4294967294" count="1" selected="0">
            <x v="0"/>
          </reference>
          <reference field="0" count="1" selected="0">
            <x v="12"/>
          </reference>
          <reference field="13" count="1" selected="0">
            <x v="2"/>
          </reference>
        </references>
      </pivotArea>
    </chartFormat>
    <chartFormat chart="51" format="23" series="1">
      <pivotArea type="data" outline="0" fieldPosition="0">
        <references count="3">
          <reference field="4294967294" count="1" selected="0">
            <x v="0"/>
          </reference>
          <reference field="0" count="1" selected="0">
            <x v="1"/>
          </reference>
          <reference field="13" count="1" selected="0">
            <x v="3"/>
          </reference>
        </references>
      </pivotArea>
    </chartFormat>
    <chartFormat chart="51" format="24" series="1">
      <pivotArea type="data" outline="0" fieldPosition="0">
        <references count="3">
          <reference field="4294967294" count="1" selected="0">
            <x v="0"/>
          </reference>
          <reference field="0" count="1" selected="0">
            <x v="2"/>
          </reference>
          <reference field="13" count="1" selected="0">
            <x v="3"/>
          </reference>
        </references>
      </pivotArea>
    </chartFormat>
    <chartFormat chart="51" format="25" series="1">
      <pivotArea type="data" outline="0" fieldPosition="0">
        <references count="3">
          <reference field="4294967294" count="1" selected="0">
            <x v="0"/>
          </reference>
          <reference field="0" count="1" selected="0">
            <x v="3"/>
          </reference>
          <reference field="13" count="1" selected="0">
            <x v="3"/>
          </reference>
        </references>
      </pivotArea>
    </chartFormat>
    <chartFormat chart="51" format="26" series="1">
      <pivotArea type="data" outline="0" fieldPosition="0">
        <references count="3">
          <reference field="4294967294" count="1" selected="0">
            <x v="0"/>
          </reference>
          <reference field="0" count="1" selected="0">
            <x v="4"/>
          </reference>
          <reference field="13" count="1" selected="0">
            <x v="3"/>
          </reference>
        </references>
      </pivotArea>
    </chartFormat>
    <chartFormat chart="51" format="27" series="1">
      <pivotArea type="data" outline="0" fieldPosition="0">
        <references count="3">
          <reference field="4294967294" count="1" selected="0">
            <x v="0"/>
          </reference>
          <reference field="0" count="1" selected="0">
            <x v="5"/>
          </reference>
          <reference field="13" count="1" selected="0">
            <x v="3"/>
          </reference>
        </references>
      </pivotArea>
    </chartFormat>
    <chartFormat chart="51" format="28" series="1">
      <pivotArea type="data" outline="0" fieldPosition="0">
        <references count="3">
          <reference field="4294967294" count="1" selected="0">
            <x v="0"/>
          </reference>
          <reference field="0" count="1" selected="0">
            <x v="6"/>
          </reference>
          <reference field="13" count="1" selected="0">
            <x v="3"/>
          </reference>
        </references>
      </pivotArea>
    </chartFormat>
    <chartFormat chart="51" format="29" series="1">
      <pivotArea type="data" outline="0" fieldPosition="0">
        <references count="3">
          <reference field="4294967294" count="1" selected="0">
            <x v="0"/>
          </reference>
          <reference field="0" count="1" selected="0">
            <x v="7"/>
          </reference>
          <reference field="13" count="1" selected="0">
            <x v="3"/>
          </reference>
        </references>
      </pivotArea>
    </chartFormat>
    <chartFormat chart="51" format="30" series="1">
      <pivotArea type="data" outline="0" fieldPosition="0">
        <references count="3">
          <reference field="4294967294" count="1" selected="0">
            <x v="0"/>
          </reference>
          <reference field="0" count="1" selected="0">
            <x v="8"/>
          </reference>
          <reference field="13" count="1" selected="0">
            <x v="3"/>
          </reference>
        </references>
      </pivotArea>
    </chartFormat>
    <chartFormat chart="51" format="31" series="1">
      <pivotArea type="data" outline="0" fieldPosition="0">
        <references count="3">
          <reference field="4294967294" count="1" selected="0">
            <x v="0"/>
          </reference>
          <reference field="0" count="1" selected="0">
            <x v="9"/>
          </reference>
          <reference field="13" count="1" selected="0">
            <x v="3"/>
          </reference>
        </references>
      </pivotArea>
    </chartFormat>
    <chartFormat chart="53" format="64" series="1">
      <pivotArea type="data" outline="0" fieldPosition="0">
        <references count="3">
          <reference field="4294967294" count="1" selected="0">
            <x v="0"/>
          </reference>
          <reference field="0" count="1" selected="0">
            <x v="1"/>
          </reference>
          <reference field="13" count="1" selected="0">
            <x v="1"/>
          </reference>
        </references>
      </pivotArea>
    </chartFormat>
    <chartFormat chart="53" format="65" series="1">
      <pivotArea type="data" outline="0" fieldPosition="0">
        <references count="3">
          <reference field="4294967294" count="1" selected="0">
            <x v="0"/>
          </reference>
          <reference field="0" count="1" selected="0">
            <x v="3"/>
          </reference>
          <reference field="13" count="1" selected="0">
            <x v="1"/>
          </reference>
        </references>
      </pivotArea>
    </chartFormat>
    <chartFormat chart="53" format="66" series="1">
      <pivotArea type="data" outline="0" fieldPosition="0">
        <references count="3">
          <reference field="4294967294" count="1" selected="0">
            <x v="0"/>
          </reference>
          <reference field="0" count="1" selected="0">
            <x v="4"/>
          </reference>
          <reference field="13" count="1" selected="0">
            <x v="1"/>
          </reference>
        </references>
      </pivotArea>
    </chartFormat>
    <chartFormat chart="53" format="67" series="1">
      <pivotArea type="data" outline="0" fieldPosition="0">
        <references count="3">
          <reference field="4294967294" count="1" selected="0">
            <x v="0"/>
          </reference>
          <reference field="0" count="1" selected="0">
            <x v="5"/>
          </reference>
          <reference field="13" count="1" selected="0">
            <x v="1"/>
          </reference>
        </references>
      </pivotArea>
    </chartFormat>
    <chartFormat chart="53" format="68" series="1">
      <pivotArea type="data" outline="0" fieldPosition="0">
        <references count="3">
          <reference field="4294967294" count="1" selected="0">
            <x v="0"/>
          </reference>
          <reference field="0" count="1" selected="0">
            <x v="6"/>
          </reference>
          <reference field="13" count="1" selected="0">
            <x v="1"/>
          </reference>
        </references>
      </pivotArea>
    </chartFormat>
    <chartFormat chart="53" format="69" series="1">
      <pivotArea type="data" outline="0" fieldPosition="0">
        <references count="3">
          <reference field="4294967294" count="1" selected="0">
            <x v="0"/>
          </reference>
          <reference field="0" count="1" selected="0">
            <x v="7"/>
          </reference>
          <reference field="13" count="1" selected="0">
            <x v="1"/>
          </reference>
        </references>
      </pivotArea>
    </chartFormat>
    <chartFormat chart="53" format="70" series="1">
      <pivotArea type="data" outline="0" fieldPosition="0">
        <references count="3">
          <reference field="4294967294" count="1" selected="0">
            <x v="0"/>
          </reference>
          <reference field="0" count="1" selected="0">
            <x v="8"/>
          </reference>
          <reference field="13" count="1" selected="0">
            <x v="1"/>
          </reference>
        </references>
      </pivotArea>
    </chartFormat>
    <chartFormat chart="53" format="71" series="1">
      <pivotArea type="data" outline="0" fieldPosition="0">
        <references count="3">
          <reference field="4294967294" count="1" selected="0">
            <x v="0"/>
          </reference>
          <reference field="0" count="1" selected="0">
            <x v="9"/>
          </reference>
          <reference field="13" count="1" selected="0">
            <x v="1"/>
          </reference>
        </references>
      </pivotArea>
    </chartFormat>
    <chartFormat chart="53" format="72" series="1">
      <pivotArea type="data" outline="0" fieldPosition="0">
        <references count="3">
          <reference field="4294967294" count="1" selected="0">
            <x v="0"/>
          </reference>
          <reference field="0" count="1" selected="0">
            <x v="10"/>
          </reference>
          <reference field="13" count="1" selected="0">
            <x v="1"/>
          </reference>
        </references>
      </pivotArea>
    </chartFormat>
    <chartFormat chart="53" format="73" series="1">
      <pivotArea type="data" outline="0" fieldPosition="0">
        <references count="3">
          <reference field="4294967294" count="1" selected="0">
            <x v="0"/>
          </reference>
          <reference field="0" count="1" selected="0">
            <x v="11"/>
          </reference>
          <reference field="13" count="1" selected="0">
            <x v="1"/>
          </reference>
        </references>
      </pivotArea>
    </chartFormat>
    <chartFormat chart="53" format="74" series="1">
      <pivotArea type="data" outline="0" fieldPosition="0">
        <references count="3">
          <reference field="4294967294" count="1" selected="0">
            <x v="0"/>
          </reference>
          <reference field="0" count="1" selected="0">
            <x v="12"/>
          </reference>
          <reference field="13" count="1" selected="0">
            <x v="1"/>
          </reference>
        </references>
      </pivotArea>
    </chartFormat>
    <chartFormat chart="53" format="75" series="1">
      <pivotArea type="data" outline="0" fieldPosition="0">
        <references count="3">
          <reference field="4294967294" count="1" selected="0">
            <x v="0"/>
          </reference>
          <reference field="0" count="1" selected="0">
            <x v="1"/>
          </reference>
          <reference field="13" count="1" selected="0">
            <x v="2"/>
          </reference>
        </references>
      </pivotArea>
    </chartFormat>
    <chartFormat chart="53" format="76" series="1">
      <pivotArea type="data" outline="0" fieldPosition="0">
        <references count="3">
          <reference field="4294967294" count="1" selected="0">
            <x v="0"/>
          </reference>
          <reference field="0" count="1" selected="0">
            <x v="2"/>
          </reference>
          <reference field="13" count="1" selected="0">
            <x v="2"/>
          </reference>
        </references>
      </pivotArea>
    </chartFormat>
    <chartFormat chart="53" format="77" series="1">
      <pivotArea type="data" outline="0" fieldPosition="0">
        <references count="3">
          <reference field="4294967294" count="1" selected="0">
            <x v="0"/>
          </reference>
          <reference field="0" count="1" selected="0">
            <x v="3"/>
          </reference>
          <reference field="13" count="1" selected="0">
            <x v="2"/>
          </reference>
        </references>
      </pivotArea>
    </chartFormat>
    <chartFormat chart="53" format="78" series="1">
      <pivotArea type="data" outline="0" fieldPosition="0">
        <references count="3">
          <reference field="4294967294" count="1" selected="0">
            <x v="0"/>
          </reference>
          <reference field="0" count="1" selected="0">
            <x v="4"/>
          </reference>
          <reference field="13" count="1" selected="0">
            <x v="2"/>
          </reference>
        </references>
      </pivotArea>
    </chartFormat>
    <chartFormat chart="53" format="79" series="1">
      <pivotArea type="data" outline="0" fieldPosition="0">
        <references count="3">
          <reference field="4294967294" count="1" selected="0">
            <x v="0"/>
          </reference>
          <reference field="0" count="1" selected="0">
            <x v="5"/>
          </reference>
          <reference field="13" count="1" selected="0">
            <x v="2"/>
          </reference>
        </references>
      </pivotArea>
    </chartFormat>
    <chartFormat chart="53" format="80" series="1">
      <pivotArea type="data" outline="0" fieldPosition="0">
        <references count="3">
          <reference field="4294967294" count="1" selected="0">
            <x v="0"/>
          </reference>
          <reference field="0" count="1" selected="0">
            <x v="6"/>
          </reference>
          <reference field="13" count="1" selected="0">
            <x v="2"/>
          </reference>
        </references>
      </pivotArea>
    </chartFormat>
    <chartFormat chart="53" format="81" series="1">
      <pivotArea type="data" outline="0" fieldPosition="0">
        <references count="3">
          <reference field="4294967294" count="1" selected="0">
            <x v="0"/>
          </reference>
          <reference field="0" count="1" selected="0">
            <x v="7"/>
          </reference>
          <reference field="13" count="1" selected="0">
            <x v="2"/>
          </reference>
        </references>
      </pivotArea>
    </chartFormat>
    <chartFormat chart="53" format="82" series="1">
      <pivotArea type="data" outline="0" fieldPosition="0">
        <references count="3">
          <reference field="4294967294" count="1" selected="0">
            <x v="0"/>
          </reference>
          <reference field="0" count="1" selected="0">
            <x v="8"/>
          </reference>
          <reference field="13" count="1" selected="0">
            <x v="2"/>
          </reference>
        </references>
      </pivotArea>
    </chartFormat>
    <chartFormat chart="53" format="83" series="1">
      <pivotArea type="data" outline="0" fieldPosition="0">
        <references count="3">
          <reference field="4294967294" count="1" selected="0">
            <x v="0"/>
          </reference>
          <reference field="0" count="1" selected="0">
            <x v="9"/>
          </reference>
          <reference field="13" count="1" selected="0">
            <x v="2"/>
          </reference>
        </references>
      </pivotArea>
    </chartFormat>
    <chartFormat chart="53" format="84" series="1">
      <pivotArea type="data" outline="0" fieldPosition="0">
        <references count="3">
          <reference field="4294967294" count="1" selected="0">
            <x v="0"/>
          </reference>
          <reference field="0" count="1" selected="0">
            <x v="10"/>
          </reference>
          <reference field="13" count="1" selected="0">
            <x v="2"/>
          </reference>
        </references>
      </pivotArea>
    </chartFormat>
    <chartFormat chart="53" format="85" series="1">
      <pivotArea type="data" outline="0" fieldPosition="0">
        <references count="3">
          <reference field="4294967294" count="1" selected="0">
            <x v="0"/>
          </reference>
          <reference field="0" count="1" selected="0">
            <x v="11"/>
          </reference>
          <reference field="13" count="1" selected="0">
            <x v="2"/>
          </reference>
        </references>
      </pivotArea>
    </chartFormat>
    <chartFormat chart="53" format="86" series="1">
      <pivotArea type="data" outline="0" fieldPosition="0">
        <references count="3">
          <reference field="4294967294" count="1" selected="0">
            <x v="0"/>
          </reference>
          <reference field="0" count="1" selected="0">
            <x v="12"/>
          </reference>
          <reference field="13" count="1" selected="0">
            <x v="2"/>
          </reference>
        </references>
      </pivotArea>
    </chartFormat>
    <chartFormat chart="53" format="87" series="1">
      <pivotArea type="data" outline="0" fieldPosition="0">
        <references count="3">
          <reference field="4294967294" count="1" selected="0">
            <x v="0"/>
          </reference>
          <reference field="0" count="1" selected="0">
            <x v="1"/>
          </reference>
          <reference field="13" count="1" selected="0">
            <x v="3"/>
          </reference>
        </references>
      </pivotArea>
    </chartFormat>
    <chartFormat chart="53" format="88" series="1">
      <pivotArea type="data" outline="0" fieldPosition="0">
        <references count="3">
          <reference field="4294967294" count="1" selected="0">
            <x v="0"/>
          </reference>
          <reference field="0" count="1" selected="0">
            <x v="2"/>
          </reference>
          <reference field="13" count="1" selected="0">
            <x v="3"/>
          </reference>
        </references>
      </pivotArea>
    </chartFormat>
    <chartFormat chart="53" format="89" series="1">
      <pivotArea type="data" outline="0" fieldPosition="0">
        <references count="3">
          <reference field="4294967294" count="1" selected="0">
            <x v="0"/>
          </reference>
          <reference field="0" count="1" selected="0">
            <x v="3"/>
          </reference>
          <reference field="13" count="1" selected="0">
            <x v="3"/>
          </reference>
        </references>
      </pivotArea>
    </chartFormat>
    <chartFormat chart="53" format="90" series="1">
      <pivotArea type="data" outline="0" fieldPosition="0">
        <references count="3">
          <reference field="4294967294" count="1" selected="0">
            <x v="0"/>
          </reference>
          <reference field="0" count="1" selected="0">
            <x v="4"/>
          </reference>
          <reference field="13" count="1" selected="0">
            <x v="3"/>
          </reference>
        </references>
      </pivotArea>
    </chartFormat>
    <chartFormat chart="53" format="91" series="1">
      <pivotArea type="data" outline="0" fieldPosition="0">
        <references count="3">
          <reference field="4294967294" count="1" selected="0">
            <x v="0"/>
          </reference>
          <reference field="0" count="1" selected="0">
            <x v="5"/>
          </reference>
          <reference field="13" count="1" selected="0">
            <x v="3"/>
          </reference>
        </references>
      </pivotArea>
    </chartFormat>
    <chartFormat chart="53" format="92" series="1">
      <pivotArea type="data" outline="0" fieldPosition="0">
        <references count="3">
          <reference field="4294967294" count="1" selected="0">
            <x v="0"/>
          </reference>
          <reference field="0" count="1" selected="0">
            <x v="6"/>
          </reference>
          <reference field="13" count="1" selected="0">
            <x v="3"/>
          </reference>
        </references>
      </pivotArea>
    </chartFormat>
    <chartFormat chart="53" format="93" series="1">
      <pivotArea type="data" outline="0" fieldPosition="0">
        <references count="3">
          <reference field="4294967294" count="1" selected="0">
            <x v="0"/>
          </reference>
          <reference field="0" count="1" selected="0">
            <x v="7"/>
          </reference>
          <reference field="13" count="1" selected="0">
            <x v="3"/>
          </reference>
        </references>
      </pivotArea>
    </chartFormat>
    <chartFormat chart="53" format="94" series="1">
      <pivotArea type="data" outline="0" fieldPosition="0">
        <references count="3">
          <reference field="4294967294" count="1" selected="0">
            <x v="0"/>
          </reference>
          <reference field="0" count="1" selected="0">
            <x v="8"/>
          </reference>
          <reference field="13" count="1" selected="0">
            <x v="3"/>
          </reference>
        </references>
      </pivotArea>
    </chartFormat>
    <chartFormat chart="53" format="95" series="1">
      <pivotArea type="data" outline="0" fieldPosition="0">
        <references count="3">
          <reference field="4294967294" count="1" selected="0">
            <x v="0"/>
          </reference>
          <reference field="0" count="1" selected="0">
            <x v="9"/>
          </reference>
          <reference field="13" count="1" selected="0">
            <x v="3"/>
          </reference>
        </references>
      </pivotArea>
    </chartFormat>
    <chartFormat chart="51" format="32" series="1">
      <pivotArea type="data" outline="0" fieldPosition="0">
        <references count="1">
          <reference field="4294967294" count="1" selected="0">
            <x v="0"/>
          </reference>
        </references>
      </pivotArea>
    </chartFormat>
    <chartFormat chart="53" format="9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0">
  <location ref="A3:D10" firstHeaderRow="1" firstDataRow="2" firstDataCol="1"/>
  <pivotFields count="14">
    <pivotField numFmtId="14" showAll="0">
      <items count="15">
        <item h="1" x="0"/>
        <item h="1" x="1"/>
        <item h="1" x="2"/>
        <item x="3"/>
        <item x="4"/>
        <item h="1" x="5"/>
        <item x="6"/>
        <item h="1" x="7"/>
        <item h="1" x="8"/>
        <item h="1" x="9"/>
        <item x="10"/>
        <item x="11"/>
        <item h="1" x="12"/>
        <item h="1" x="13"/>
        <item t="default"/>
      </items>
    </pivotField>
    <pivotField axis="axisCol" showAll="0">
      <items count="3">
        <item x="0"/>
        <item x="1"/>
        <item t="default"/>
      </items>
    </pivotField>
    <pivotField numFmtId="164" showAll="0"/>
    <pivotField numFmtId="164" showAll="0"/>
    <pivotField dataField="1" showAll="0"/>
    <pivotField showAll="0"/>
    <pivotField axis="axisRow" showAll="0">
      <items count="59">
        <item h="1" x="2"/>
        <item h="1" x="0"/>
        <item h="1" x="45"/>
        <item h="1" x="19"/>
        <item h="1" x="1"/>
        <item h="1" x="47"/>
        <item h="1" x="12"/>
        <item h="1" x="57"/>
        <item h="1" x="51"/>
        <item h="1" x="6"/>
        <item h="1" x="27"/>
        <item x="20"/>
        <item h="1" x="25"/>
        <item x="23"/>
        <item h="1" x="41"/>
        <item h="1" x="18"/>
        <item x="15"/>
        <item h="1" x="33"/>
        <item h="1" x="42"/>
        <item h="1" x="3"/>
        <item h="1" x="8"/>
        <item h="1" x="54"/>
        <item h="1" x="30"/>
        <item h="1" x="28"/>
        <item h="1" x="34"/>
        <item h="1" x="14"/>
        <item h="1" x="35"/>
        <item h="1" x="46"/>
        <item h="1" x="50"/>
        <item x="5"/>
        <item h="1" x="10"/>
        <item h="1" x="48"/>
        <item h="1" x="29"/>
        <item h="1" x="7"/>
        <item h="1" x="4"/>
        <item h="1" x="44"/>
        <item h="1" x="49"/>
        <item x="31"/>
        <item h="1" x="13"/>
        <item x="22"/>
        <item h="1" x="16"/>
        <item h="1" x="56"/>
        <item h="1" x="21"/>
        <item h="1" x="40"/>
        <item h="1" x="43"/>
        <item h="1" x="17"/>
        <item h="1" x="38"/>
        <item h="1" x="37"/>
        <item h="1" x="52"/>
        <item h="1" x="36"/>
        <item h="1" x="53"/>
        <item h="1" x="9"/>
        <item h="1" x="24"/>
        <item h="1" x="26"/>
        <item h="1" x="11"/>
        <item h="1" x="32"/>
        <item h="1" x="39"/>
        <item h="1" x="55"/>
        <item t="default"/>
      </items>
    </pivotField>
    <pivotField showAll="0">
      <items count="10">
        <item h="1" x="5"/>
        <item x="7"/>
        <item h="1" x="2"/>
        <item x="4"/>
        <item x="0"/>
        <item x="8"/>
        <item x="3"/>
        <item h="1" x="1"/>
        <item h="1" x="6"/>
        <item t="default"/>
      </items>
    </pivotField>
    <pivotField showAll="0"/>
    <pivotField showAll="0">
      <items count="6">
        <item x="0"/>
        <item x="1"/>
        <item x="3"/>
        <item x="4"/>
        <item x="2"/>
        <item t="default"/>
      </items>
    </pivotField>
    <pivotField showAll="0"/>
    <pivotField showAll="0"/>
    <pivotField showAll="0" defaultSubtotal="0"/>
    <pivotField showAll="0" defaultSubtotal="0">
      <items count="5">
        <item h="1" x="0"/>
        <item x="1"/>
        <item h="1" x="2"/>
        <item h="1" x="3"/>
        <item h="1" x="4"/>
      </items>
    </pivotField>
  </pivotFields>
  <rowFields count="1">
    <field x="6"/>
  </rowFields>
  <rowItems count="6">
    <i>
      <x v="11"/>
    </i>
    <i>
      <x v="13"/>
    </i>
    <i>
      <x v="16"/>
    </i>
    <i>
      <x v="29"/>
    </i>
    <i>
      <x v="39"/>
    </i>
    <i t="grand">
      <x/>
    </i>
  </rowItems>
  <colFields count="1">
    <field x="1"/>
  </colFields>
  <colItems count="3">
    <i>
      <x/>
    </i>
    <i>
      <x v="1"/>
    </i>
    <i t="grand">
      <x/>
    </i>
  </colItems>
  <dataFields count="1">
    <dataField name="Sum of No of Hour Worked by Employee " fld="4" baseField="0" baseItem="0"/>
  </dataFields>
  <formats count="5">
    <format dxfId="1596">
      <pivotArea outline="0" collapsedLevelsAreSubtotals="1" fieldPosition="0"/>
    </format>
    <format dxfId="1595">
      <pivotArea field="1" type="button" dataOnly="0" labelOnly="1" outline="0" axis="axisCol" fieldPosition="0"/>
    </format>
    <format dxfId="1594">
      <pivotArea type="topRight" dataOnly="0" labelOnly="1" outline="0" fieldPosition="0"/>
    </format>
    <format dxfId="1593">
      <pivotArea dataOnly="0" labelOnly="1" fieldPosition="0">
        <references count="1">
          <reference field="1" count="0"/>
        </references>
      </pivotArea>
    </format>
    <format dxfId="1592">
      <pivotArea dataOnly="0" labelOnly="1" grandCol="1" outline="0" fieldPosition="0"/>
    </format>
  </formats>
  <chartFormats count="6">
    <chartFormat chart="67" format="0" series="1">
      <pivotArea type="data" outline="0" fieldPosition="0">
        <references count="2">
          <reference field="4294967294" count="1" selected="0">
            <x v="0"/>
          </reference>
          <reference field="1" count="1" selected="0">
            <x v="0"/>
          </reference>
        </references>
      </pivotArea>
    </chartFormat>
    <chartFormat chart="67" format="1" series="1">
      <pivotArea type="data" outline="0" fieldPosition="0">
        <references count="2">
          <reference field="4294967294" count="1" selected="0">
            <x v="0"/>
          </reference>
          <reference field="1" count="1" selected="0">
            <x v="1"/>
          </reference>
        </references>
      </pivotArea>
    </chartFormat>
    <chartFormat chart="69" format="4" series="1">
      <pivotArea type="data" outline="0" fieldPosition="0">
        <references count="2">
          <reference field="4294967294" count="1" selected="0">
            <x v="0"/>
          </reference>
          <reference field="1" count="1" selected="0">
            <x v="0"/>
          </reference>
        </references>
      </pivotArea>
    </chartFormat>
    <chartFormat chart="69" format="5" series="1">
      <pivotArea type="data" outline="0" fieldPosition="0">
        <references count="2">
          <reference field="4294967294" count="1" selected="0">
            <x v="0"/>
          </reference>
          <reference field="1" count="1" selected="0">
            <x v="1"/>
          </reference>
        </references>
      </pivotArea>
    </chartFormat>
    <chartFormat chart="67" format="2"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colHeaderCaption="Shift">
  <location ref="A3:D10" firstHeaderRow="1" firstDataRow="2" firstDataCol="1"/>
  <pivotFields count="14">
    <pivotField numFmtId="14" showAll="0">
      <items count="15">
        <item h="1" x="0"/>
        <item h="1" x="1"/>
        <item h="1" x="2"/>
        <item x="3"/>
        <item x="4"/>
        <item h="1" x="5"/>
        <item x="6"/>
        <item h="1" x="7"/>
        <item h="1" x="8"/>
        <item h="1" x="9"/>
        <item x="10"/>
        <item x="11"/>
        <item h="1" x="12"/>
        <item h="1" x="13"/>
        <item t="default"/>
      </items>
    </pivotField>
    <pivotField axis="axisCol" showAll="0">
      <items count="3">
        <item x="0"/>
        <item x="1"/>
        <item t="default"/>
      </items>
    </pivotField>
    <pivotField numFmtId="164" showAll="0"/>
    <pivotField numFmtId="164" showAll="0"/>
    <pivotField showAll="0"/>
    <pivotField axis="axisRow" showAll="0">
      <items count="10">
        <item m="1" x="8"/>
        <item x="0"/>
        <item x="4"/>
        <item x="7"/>
        <item x="6"/>
        <item x="5"/>
        <item x="1"/>
        <item x="3"/>
        <item x="2"/>
        <item t="default"/>
      </items>
    </pivotField>
    <pivotField showAll="0">
      <items count="59">
        <item h="1" x="2"/>
        <item h="1" x="0"/>
        <item h="1" x="45"/>
        <item h="1" x="19"/>
        <item h="1" x="1"/>
        <item h="1" x="47"/>
        <item h="1" x="12"/>
        <item h="1" x="57"/>
        <item h="1" x="51"/>
        <item h="1" x="6"/>
        <item h="1" x="27"/>
        <item x="20"/>
        <item h="1" x="25"/>
        <item x="23"/>
        <item h="1" x="41"/>
        <item h="1" x="18"/>
        <item x="15"/>
        <item h="1" x="33"/>
        <item h="1" x="42"/>
        <item h="1" x="3"/>
        <item h="1" x="8"/>
        <item h="1" x="54"/>
        <item h="1" x="30"/>
        <item h="1" x="28"/>
        <item h="1" x="34"/>
        <item h="1" x="14"/>
        <item h="1" x="35"/>
        <item h="1" x="46"/>
        <item h="1" x="50"/>
        <item x="5"/>
        <item h="1" x="10"/>
        <item h="1" x="48"/>
        <item h="1" x="29"/>
        <item h="1" x="7"/>
        <item h="1" x="4"/>
        <item h="1" x="44"/>
        <item h="1" x="49"/>
        <item x="31"/>
        <item h="1" x="13"/>
        <item x="22"/>
        <item h="1" x="16"/>
        <item h="1" x="56"/>
        <item h="1" x="21"/>
        <item h="1" x="40"/>
        <item h="1" x="43"/>
        <item h="1" x="17"/>
        <item h="1" x="38"/>
        <item h="1" x="37"/>
        <item h="1" x="52"/>
        <item h="1" x="36"/>
        <item h="1" x="53"/>
        <item h="1" x="9"/>
        <item h="1" x="24"/>
        <item h="1" x="26"/>
        <item h="1" x="11"/>
        <item h="1" x="32"/>
        <item h="1" x="39"/>
        <item h="1" x="55"/>
        <item t="default"/>
      </items>
    </pivotField>
    <pivotField showAll="0">
      <items count="10">
        <item h="1" x="5"/>
        <item x="7"/>
        <item h="1" x="2"/>
        <item x="4"/>
        <item x="0"/>
        <item x="8"/>
        <item x="3"/>
        <item h="1" x="1"/>
        <item h="1" x="6"/>
        <item t="default"/>
      </items>
    </pivotField>
    <pivotField showAll="0"/>
    <pivotField showAll="0">
      <items count="6">
        <item x="0"/>
        <item x="1"/>
        <item x="3"/>
        <item x="4"/>
        <item x="2"/>
        <item t="default"/>
      </items>
    </pivotField>
    <pivotField showAll="0"/>
    <pivotField dataField="1" showAll="0"/>
    <pivotField showAll="0" defaultSubtotal="0"/>
    <pivotField showAll="0" defaultSubtotal="0">
      <items count="5">
        <item h="1" x="0"/>
        <item x="1"/>
        <item h="1" x="2"/>
        <item h="1" x="3"/>
        <item h="1" x="4"/>
      </items>
    </pivotField>
  </pivotFields>
  <rowFields count="1">
    <field x="5"/>
  </rowFields>
  <rowItems count="6">
    <i>
      <x v="1"/>
    </i>
    <i>
      <x v="2"/>
    </i>
    <i>
      <x v="3"/>
    </i>
    <i>
      <x v="5"/>
    </i>
    <i>
      <x v="7"/>
    </i>
    <i t="grand">
      <x/>
    </i>
  </rowItems>
  <colFields count="1">
    <field x="1"/>
  </colFields>
  <colItems count="3">
    <i>
      <x/>
    </i>
    <i>
      <x v="1"/>
    </i>
    <i t="grand">
      <x/>
    </i>
  </colItems>
  <dataFields count="1">
    <dataField name="Sum of Service by Shift" fld="11" baseField="0" baseItem="0"/>
  </dataFields>
  <chartFormats count="6">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colHeaderCaption="Employee">
  <location ref="A3:G10" firstHeaderRow="1" firstDataRow="2" firstDataCol="1"/>
  <pivotFields count="14">
    <pivotField numFmtId="14" showAll="0">
      <items count="15">
        <item h="1" x="0"/>
        <item h="1" x="1"/>
        <item h="1" x="2"/>
        <item x="3"/>
        <item x="4"/>
        <item h="1" x="5"/>
        <item x="6"/>
        <item h="1" x="7"/>
        <item h="1" x="8"/>
        <item h="1" x="9"/>
        <item x="10"/>
        <item x="11"/>
        <item h="1" x="12"/>
        <item h="1" x="13"/>
        <item t="default"/>
      </items>
    </pivotField>
    <pivotField showAll="0">
      <items count="3">
        <item x="0"/>
        <item x="1"/>
        <item t="default"/>
      </items>
    </pivotField>
    <pivotField numFmtId="164" showAll="0"/>
    <pivotField numFmtId="164" showAll="0"/>
    <pivotField showAll="0"/>
    <pivotField axis="axisRow" showAll="0">
      <items count="10">
        <item m="1" x="8"/>
        <item x="2"/>
        <item x="0"/>
        <item x="4"/>
        <item x="7"/>
        <item x="6"/>
        <item x="5"/>
        <item x="1"/>
        <item x="3"/>
        <item t="default"/>
      </items>
    </pivotField>
    <pivotField axis="axisCol" showAll="0">
      <items count="59">
        <item h="1" x="2"/>
        <item h="1" x="0"/>
        <item h="1" x="45"/>
        <item h="1" x="19"/>
        <item h="1" x="1"/>
        <item h="1" x="47"/>
        <item h="1" x="12"/>
        <item h="1" x="57"/>
        <item h="1" x="51"/>
        <item h="1" x="6"/>
        <item h="1" x="27"/>
        <item x="20"/>
        <item h="1" x="25"/>
        <item x="23"/>
        <item h="1" x="41"/>
        <item h="1" x="18"/>
        <item x="15"/>
        <item h="1" x="33"/>
        <item h="1" x="42"/>
        <item h="1" x="3"/>
        <item h="1" x="8"/>
        <item h="1" x="54"/>
        <item h="1" x="30"/>
        <item h="1" x="28"/>
        <item h="1" x="34"/>
        <item h="1" x="14"/>
        <item h="1" x="35"/>
        <item h="1" x="46"/>
        <item h="1" x="50"/>
        <item x="5"/>
        <item h="1" x="10"/>
        <item h="1" x="48"/>
        <item h="1" x="29"/>
        <item h="1" x="7"/>
        <item h="1" x="4"/>
        <item h="1" x="44"/>
        <item h="1" x="49"/>
        <item x="31"/>
        <item h="1" x="13"/>
        <item x="22"/>
        <item h="1" x="16"/>
        <item h="1" x="56"/>
        <item h="1" x="21"/>
        <item h="1" x="40"/>
        <item h="1" x="43"/>
        <item h="1" x="17"/>
        <item h="1" x="38"/>
        <item h="1" x="37"/>
        <item h="1" x="52"/>
        <item h="1" x="36"/>
        <item h="1" x="53"/>
        <item h="1" x="9"/>
        <item h="1" x="24"/>
        <item h="1" x="26"/>
        <item h="1" x="11"/>
        <item h="1" x="32"/>
        <item h="1" x="39"/>
        <item h="1" x="55"/>
        <item t="default"/>
      </items>
    </pivotField>
    <pivotField showAll="0">
      <items count="10">
        <item h="1" x="5"/>
        <item x="7"/>
        <item h="1" x="2"/>
        <item x="4"/>
        <item x="0"/>
        <item x="8"/>
        <item x="3"/>
        <item h="1" x="1"/>
        <item h="1" x="6"/>
        <item t="default"/>
      </items>
    </pivotField>
    <pivotField showAll="0"/>
    <pivotField showAll="0">
      <items count="6">
        <item x="0"/>
        <item x="1"/>
        <item x="3"/>
        <item x="4"/>
        <item x="2"/>
        <item t="default"/>
      </items>
    </pivotField>
    <pivotField showAll="0"/>
    <pivotField dataField="1" showAll="0"/>
    <pivotField showAll="0" defaultSubtotal="0"/>
    <pivotField showAll="0" defaultSubtotal="0">
      <items count="5">
        <item h="1" x="0"/>
        <item x="1"/>
        <item h="1" x="2"/>
        <item h="1" x="3"/>
        <item h="1" x="4"/>
      </items>
    </pivotField>
  </pivotFields>
  <rowFields count="1">
    <field x="5"/>
  </rowFields>
  <rowItems count="6">
    <i>
      <x v="2"/>
    </i>
    <i>
      <x v="3"/>
    </i>
    <i>
      <x v="4"/>
    </i>
    <i>
      <x v="6"/>
    </i>
    <i>
      <x v="8"/>
    </i>
    <i t="grand">
      <x/>
    </i>
  </rowItems>
  <colFields count="1">
    <field x="6"/>
  </colFields>
  <colItems count="6">
    <i>
      <x v="11"/>
    </i>
    <i>
      <x v="13"/>
    </i>
    <i>
      <x v="16"/>
    </i>
    <i>
      <x v="29"/>
    </i>
    <i>
      <x v="39"/>
    </i>
    <i t="grand">
      <x/>
    </i>
  </colItems>
  <dataFields count="1">
    <dataField name="Sum of Service Rating by Employee" fld="11" baseField="0" baseItem="0"/>
  </dataFields>
  <formats count="11">
    <format dxfId="1591">
      <pivotArea type="all" dataOnly="0" outline="0" fieldPosition="0"/>
    </format>
    <format dxfId="1590">
      <pivotArea outline="0" collapsedLevelsAreSubtotals="1" fieldPosition="0"/>
    </format>
    <format dxfId="1589">
      <pivotArea type="topRight" dataOnly="0" labelOnly="1" outline="0" fieldPosition="0"/>
    </format>
    <format dxfId="1588">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87">
      <pivotArea dataOnly="0" labelOnly="1" fieldPosition="0">
        <references count="1">
          <reference field="6" count="8">
            <x v="50"/>
            <x v="51"/>
            <x v="52"/>
            <x v="53"/>
            <x v="54"/>
            <x v="55"/>
            <x v="56"/>
            <x v="57"/>
          </reference>
        </references>
      </pivotArea>
    </format>
    <format dxfId="1586">
      <pivotArea dataOnly="0" labelOnly="1" grandCol="1" outline="0" fieldPosition="0"/>
    </format>
    <format dxfId="1585">
      <pivotArea type="origin" dataOnly="0" labelOnly="1" outline="0" fieldPosition="0"/>
    </format>
    <format dxfId="1584">
      <pivotArea field="5" type="button" dataOnly="0" labelOnly="1" outline="0" axis="axisRow" fieldPosition="0"/>
    </format>
    <format dxfId="1583">
      <pivotArea dataOnly="0" labelOnly="1" fieldPosition="0">
        <references count="1">
          <reference field="5" count="0"/>
        </references>
      </pivotArea>
    </format>
    <format dxfId="1582">
      <pivotArea dataOnly="0" labelOnly="1" grandRow="1" outline="0" fieldPosition="0"/>
    </format>
    <format dxfId="1581">
      <pivotArea field="6" type="button" dataOnly="0" labelOnly="1" outline="0" axis="axisCol" fieldPosition="0"/>
    </format>
  </formats>
  <chartFormats count="118">
    <chartFormat chart="47" format="0" series="1">
      <pivotArea type="data" outline="0" fieldPosition="0">
        <references count="2">
          <reference field="4294967294" count="1" selected="0">
            <x v="0"/>
          </reference>
          <reference field="6" count="1" selected="0">
            <x v="0"/>
          </reference>
        </references>
      </pivotArea>
    </chartFormat>
    <chartFormat chart="47" format="1" series="1">
      <pivotArea type="data" outline="0" fieldPosition="0">
        <references count="2">
          <reference field="4294967294" count="1" selected="0">
            <x v="0"/>
          </reference>
          <reference field="6" count="1" selected="0">
            <x v="1"/>
          </reference>
        </references>
      </pivotArea>
    </chartFormat>
    <chartFormat chart="47" format="2" series="1">
      <pivotArea type="data" outline="0" fieldPosition="0">
        <references count="2">
          <reference field="4294967294" count="1" selected="0">
            <x v="0"/>
          </reference>
          <reference field="6" count="1" selected="0">
            <x v="2"/>
          </reference>
        </references>
      </pivotArea>
    </chartFormat>
    <chartFormat chart="47" format="3" series="1">
      <pivotArea type="data" outline="0" fieldPosition="0">
        <references count="2">
          <reference field="4294967294" count="1" selected="0">
            <x v="0"/>
          </reference>
          <reference field="6" count="1" selected="0">
            <x v="3"/>
          </reference>
        </references>
      </pivotArea>
    </chartFormat>
    <chartFormat chart="47" format="4" series="1">
      <pivotArea type="data" outline="0" fieldPosition="0">
        <references count="2">
          <reference field="4294967294" count="1" selected="0">
            <x v="0"/>
          </reference>
          <reference field="6" count="1" selected="0">
            <x v="4"/>
          </reference>
        </references>
      </pivotArea>
    </chartFormat>
    <chartFormat chart="47" format="5" series="1">
      <pivotArea type="data" outline="0" fieldPosition="0">
        <references count="2">
          <reference field="4294967294" count="1" selected="0">
            <x v="0"/>
          </reference>
          <reference field="6" count="1" selected="0">
            <x v="5"/>
          </reference>
        </references>
      </pivotArea>
    </chartFormat>
    <chartFormat chart="47" format="6" series="1">
      <pivotArea type="data" outline="0" fieldPosition="0">
        <references count="2">
          <reference field="4294967294" count="1" selected="0">
            <x v="0"/>
          </reference>
          <reference field="6" count="1" selected="0">
            <x v="6"/>
          </reference>
        </references>
      </pivotArea>
    </chartFormat>
    <chartFormat chart="47" format="7" series="1">
      <pivotArea type="data" outline="0" fieldPosition="0">
        <references count="2">
          <reference field="4294967294" count="1" selected="0">
            <x v="0"/>
          </reference>
          <reference field="6" count="1" selected="0">
            <x v="7"/>
          </reference>
        </references>
      </pivotArea>
    </chartFormat>
    <chartFormat chart="47" format="8" series="1">
      <pivotArea type="data" outline="0" fieldPosition="0">
        <references count="2">
          <reference field="4294967294" count="1" selected="0">
            <x v="0"/>
          </reference>
          <reference field="6" count="1" selected="0">
            <x v="8"/>
          </reference>
        </references>
      </pivotArea>
    </chartFormat>
    <chartFormat chart="47" format="9" series="1">
      <pivotArea type="data" outline="0" fieldPosition="0">
        <references count="2">
          <reference field="4294967294" count="1" selected="0">
            <x v="0"/>
          </reference>
          <reference field="6" count="1" selected="0">
            <x v="9"/>
          </reference>
        </references>
      </pivotArea>
    </chartFormat>
    <chartFormat chart="47" format="10" series="1">
      <pivotArea type="data" outline="0" fieldPosition="0">
        <references count="2">
          <reference field="4294967294" count="1" selected="0">
            <x v="0"/>
          </reference>
          <reference field="6" count="1" selected="0">
            <x v="10"/>
          </reference>
        </references>
      </pivotArea>
    </chartFormat>
    <chartFormat chart="47" format="11" series="1">
      <pivotArea type="data" outline="0" fieldPosition="0">
        <references count="2">
          <reference field="4294967294" count="1" selected="0">
            <x v="0"/>
          </reference>
          <reference field="6" count="1" selected="0">
            <x v="11"/>
          </reference>
        </references>
      </pivotArea>
    </chartFormat>
    <chartFormat chart="47" format="12" series="1">
      <pivotArea type="data" outline="0" fieldPosition="0">
        <references count="2">
          <reference field="4294967294" count="1" selected="0">
            <x v="0"/>
          </reference>
          <reference field="6" count="1" selected="0">
            <x v="12"/>
          </reference>
        </references>
      </pivotArea>
    </chartFormat>
    <chartFormat chart="47" format="13" series="1">
      <pivotArea type="data" outline="0" fieldPosition="0">
        <references count="2">
          <reference field="4294967294" count="1" selected="0">
            <x v="0"/>
          </reference>
          <reference field="6" count="1" selected="0">
            <x v="13"/>
          </reference>
        </references>
      </pivotArea>
    </chartFormat>
    <chartFormat chart="47" format="14" series="1">
      <pivotArea type="data" outline="0" fieldPosition="0">
        <references count="2">
          <reference field="4294967294" count="1" selected="0">
            <x v="0"/>
          </reference>
          <reference field="6" count="1" selected="0">
            <x v="14"/>
          </reference>
        </references>
      </pivotArea>
    </chartFormat>
    <chartFormat chart="47" format="15" series="1">
      <pivotArea type="data" outline="0" fieldPosition="0">
        <references count="2">
          <reference field="4294967294" count="1" selected="0">
            <x v="0"/>
          </reference>
          <reference field="6" count="1" selected="0">
            <x v="15"/>
          </reference>
        </references>
      </pivotArea>
    </chartFormat>
    <chartFormat chart="47" format="16" series="1">
      <pivotArea type="data" outline="0" fieldPosition="0">
        <references count="2">
          <reference field="4294967294" count="1" selected="0">
            <x v="0"/>
          </reference>
          <reference field="6" count="1" selected="0">
            <x v="16"/>
          </reference>
        </references>
      </pivotArea>
    </chartFormat>
    <chartFormat chart="47" format="17" series="1">
      <pivotArea type="data" outline="0" fieldPosition="0">
        <references count="2">
          <reference field="4294967294" count="1" selected="0">
            <x v="0"/>
          </reference>
          <reference field="6" count="1" selected="0">
            <x v="17"/>
          </reference>
        </references>
      </pivotArea>
    </chartFormat>
    <chartFormat chart="47" format="18" series="1">
      <pivotArea type="data" outline="0" fieldPosition="0">
        <references count="2">
          <reference field="4294967294" count="1" selected="0">
            <x v="0"/>
          </reference>
          <reference field="6" count="1" selected="0">
            <x v="18"/>
          </reference>
        </references>
      </pivotArea>
    </chartFormat>
    <chartFormat chart="47" format="19" series="1">
      <pivotArea type="data" outline="0" fieldPosition="0">
        <references count="2">
          <reference field="4294967294" count="1" selected="0">
            <x v="0"/>
          </reference>
          <reference field="6" count="1" selected="0">
            <x v="19"/>
          </reference>
        </references>
      </pivotArea>
    </chartFormat>
    <chartFormat chart="47" format="20" series="1">
      <pivotArea type="data" outline="0" fieldPosition="0">
        <references count="2">
          <reference field="4294967294" count="1" selected="0">
            <x v="0"/>
          </reference>
          <reference field="6" count="1" selected="0">
            <x v="20"/>
          </reference>
        </references>
      </pivotArea>
    </chartFormat>
    <chartFormat chart="47" format="21" series="1">
      <pivotArea type="data" outline="0" fieldPosition="0">
        <references count="2">
          <reference field="4294967294" count="1" selected="0">
            <x v="0"/>
          </reference>
          <reference field="6" count="1" selected="0">
            <x v="21"/>
          </reference>
        </references>
      </pivotArea>
    </chartFormat>
    <chartFormat chart="47" format="22" series="1">
      <pivotArea type="data" outline="0" fieldPosition="0">
        <references count="2">
          <reference field="4294967294" count="1" selected="0">
            <x v="0"/>
          </reference>
          <reference field="6" count="1" selected="0">
            <x v="22"/>
          </reference>
        </references>
      </pivotArea>
    </chartFormat>
    <chartFormat chart="47" format="23" series="1">
      <pivotArea type="data" outline="0" fieldPosition="0">
        <references count="2">
          <reference field="4294967294" count="1" selected="0">
            <x v="0"/>
          </reference>
          <reference field="6" count="1" selected="0">
            <x v="23"/>
          </reference>
        </references>
      </pivotArea>
    </chartFormat>
    <chartFormat chart="47" format="24" series="1">
      <pivotArea type="data" outline="0" fieldPosition="0">
        <references count="2">
          <reference field="4294967294" count="1" selected="0">
            <x v="0"/>
          </reference>
          <reference field="6" count="1" selected="0">
            <x v="24"/>
          </reference>
        </references>
      </pivotArea>
    </chartFormat>
    <chartFormat chart="47" format="25" series="1">
      <pivotArea type="data" outline="0" fieldPosition="0">
        <references count="2">
          <reference field="4294967294" count="1" selected="0">
            <x v="0"/>
          </reference>
          <reference field="6" count="1" selected="0">
            <x v="25"/>
          </reference>
        </references>
      </pivotArea>
    </chartFormat>
    <chartFormat chart="47" format="26" series="1">
      <pivotArea type="data" outline="0" fieldPosition="0">
        <references count="2">
          <reference field="4294967294" count="1" selected="0">
            <x v="0"/>
          </reference>
          <reference field="6" count="1" selected="0">
            <x v="26"/>
          </reference>
        </references>
      </pivotArea>
    </chartFormat>
    <chartFormat chart="47" format="27" series="1">
      <pivotArea type="data" outline="0" fieldPosition="0">
        <references count="2">
          <reference field="4294967294" count="1" selected="0">
            <x v="0"/>
          </reference>
          <reference field="6" count="1" selected="0">
            <x v="27"/>
          </reference>
        </references>
      </pivotArea>
    </chartFormat>
    <chartFormat chart="47" format="28" series="1">
      <pivotArea type="data" outline="0" fieldPosition="0">
        <references count="2">
          <reference field="4294967294" count="1" selected="0">
            <x v="0"/>
          </reference>
          <reference field="6" count="1" selected="0">
            <x v="28"/>
          </reference>
        </references>
      </pivotArea>
    </chartFormat>
    <chartFormat chart="47" format="29" series="1">
      <pivotArea type="data" outline="0" fieldPosition="0">
        <references count="2">
          <reference field="4294967294" count="1" selected="0">
            <x v="0"/>
          </reference>
          <reference field="6" count="1" selected="0">
            <x v="29"/>
          </reference>
        </references>
      </pivotArea>
    </chartFormat>
    <chartFormat chart="47" format="30" series="1">
      <pivotArea type="data" outline="0" fieldPosition="0">
        <references count="2">
          <reference field="4294967294" count="1" selected="0">
            <x v="0"/>
          </reference>
          <reference field="6" count="1" selected="0">
            <x v="30"/>
          </reference>
        </references>
      </pivotArea>
    </chartFormat>
    <chartFormat chart="47" format="31" series="1">
      <pivotArea type="data" outline="0" fieldPosition="0">
        <references count="2">
          <reference field="4294967294" count="1" selected="0">
            <x v="0"/>
          </reference>
          <reference field="6" count="1" selected="0">
            <x v="31"/>
          </reference>
        </references>
      </pivotArea>
    </chartFormat>
    <chartFormat chart="47" format="32" series="1">
      <pivotArea type="data" outline="0" fieldPosition="0">
        <references count="2">
          <reference field="4294967294" count="1" selected="0">
            <x v="0"/>
          </reference>
          <reference field="6" count="1" selected="0">
            <x v="32"/>
          </reference>
        </references>
      </pivotArea>
    </chartFormat>
    <chartFormat chart="47" format="33" series="1">
      <pivotArea type="data" outline="0" fieldPosition="0">
        <references count="2">
          <reference field="4294967294" count="1" selected="0">
            <x v="0"/>
          </reference>
          <reference field="6" count="1" selected="0">
            <x v="33"/>
          </reference>
        </references>
      </pivotArea>
    </chartFormat>
    <chartFormat chart="47" format="34" series="1">
      <pivotArea type="data" outline="0" fieldPosition="0">
        <references count="2">
          <reference field="4294967294" count="1" selected="0">
            <x v="0"/>
          </reference>
          <reference field="6" count="1" selected="0">
            <x v="34"/>
          </reference>
        </references>
      </pivotArea>
    </chartFormat>
    <chartFormat chart="47" format="35" series="1">
      <pivotArea type="data" outline="0" fieldPosition="0">
        <references count="2">
          <reference field="4294967294" count="1" selected="0">
            <x v="0"/>
          </reference>
          <reference field="6" count="1" selected="0">
            <x v="35"/>
          </reference>
        </references>
      </pivotArea>
    </chartFormat>
    <chartFormat chart="47" format="36" series="1">
      <pivotArea type="data" outline="0" fieldPosition="0">
        <references count="2">
          <reference field="4294967294" count="1" selected="0">
            <x v="0"/>
          </reference>
          <reference field="6" count="1" selected="0">
            <x v="36"/>
          </reference>
        </references>
      </pivotArea>
    </chartFormat>
    <chartFormat chart="47" format="37" series="1">
      <pivotArea type="data" outline="0" fieldPosition="0">
        <references count="2">
          <reference field="4294967294" count="1" selected="0">
            <x v="0"/>
          </reference>
          <reference field="6" count="1" selected="0">
            <x v="37"/>
          </reference>
        </references>
      </pivotArea>
    </chartFormat>
    <chartFormat chart="47" format="38" series="1">
      <pivotArea type="data" outline="0" fieldPosition="0">
        <references count="2">
          <reference field="4294967294" count="1" selected="0">
            <x v="0"/>
          </reference>
          <reference field="6" count="1" selected="0">
            <x v="38"/>
          </reference>
        </references>
      </pivotArea>
    </chartFormat>
    <chartFormat chart="47" format="39" series="1">
      <pivotArea type="data" outline="0" fieldPosition="0">
        <references count="2">
          <reference field="4294967294" count="1" selected="0">
            <x v="0"/>
          </reference>
          <reference field="6" count="1" selected="0">
            <x v="39"/>
          </reference>
        </references>
      </pivotArea>
    </chartFormat>
    <chartFormat chart="47" format="40" series="1">
      <pivotArea type="data" outline="0" fieldPosition="0">
        <references count="2">
          <reference field="4294967294" count="1" selected="0">
            <x v="0"/>
          </reference>
          <reference field="6" count="1" selected="0">
            <x v="40"/>
          </reference>
        </references>
      </pivotArea>
    </chartFormat>
    <chartFormat chart="47" format="41" series="1">
      <pivotArea type="data" outline="0" fieldPosition="0">
        <references count="2">
          <reference field="4294967294" count="1" selected="0">
            <x v="0"/>
          </reference>
          <reference field="6" count="1" selected="0">
            <x v="41"/>
          </reference>
        </references>
      </pivotArea>
    </chartFormat>
    <chartFormat chart="47" format="42" series="1">
      <pivotArea type="data" outline="0" fieldPosition="0">
        <references count="2">
          <reference field="4294967294" count="1" selected="0">
            <x v="0"/>
          </reference>
          <reference field="6" count="1" selected="0">
            <x v="42"/>
          </reference>
        </references>
      </pivotArea>
    </chartFormat>
    <chartFormat chart="47" format="43" series="1">
      <pivotArea type="data" outline="0" fieldPosition="0">
        <references count="2">
          <reference field="4294967294" count="1" selected="0">
            <x v="0"/>
          </reference>
          <reference field="6" count="1" selected="0">
            <x v="43"/>
          </reference>
        </references>
      </pivotArea>
    </chartFormat>
    <chartFormat chart="47" format="44" series="1">
      <pivotArea type="data" outline="0" fieldPosition="0">
        <references count="2">
          <reference field="4294967294" count="1" selected="0">
            <x v="0"/>
          </reference>
          <reference field="6" count="1" selected="0">
            <x v="44"/>
          </reference>
        </references>
      </pivotArea>
    </chartFormat>
    <chartFormat chart="47" format="45" series="1">
      <pivotArea type="data" outline="0" fieldPosition="0">
        <references count="2">
          <reference field="4294967294" count="1" selected="0">
            <x v="0"/>
          </reference>
          <reference field="6" count="1" selected="0">
            <x v="45"/>
          </reference>
        </references>
      </pivotArea>
    </chartFormat>
    <chartFormat chart="47" format="46" series="1">
      <pivotArea type="data" outline="0" fieldPosition="0">
        <references count="2">
          <reference field="4294967294" count="1" selected="0">
            <x v="0"/>
          </reference>
          <reference field="6" count="1" selected="0">
            <x v="46"/>
          </reference>
        </references>
      </pivotArea>
    </chartFormat>
    <chartFormat chart="47" format="47" series="1">
      <pivotArea type="data" outline="0" fieldPosition="0">
        <references count="2">
          <reference field="4294967294" count="1" selected="0">
            <x v="0"/>
          </reference>
          <reference field="6" count="1" selected="0">
            <x v="47"/>
          </reference>
        </references>
      </pivotArea>
    </chartFormat>
    <chartFormat chart="47" format="48" series="1">
      <pivotArea type="data" outline="0" fieldPosition="0">
        <references count="2">
          <reference field="4294967294" count="1" selected="0">
            <x v="0"/>
          </reference>
          <reference field="6" count="1" selected="0">
            <x v="48"/>
          </reference>
        </references>
      </pivotArea>
    </chartFormat>
    <chartFormat chart="47" format="49" series="1">
      <pivotArea type="data" outline="0" fieldPosition="0">
        <references count="2">
          <reference field="4294967294" count="1" selected="0">
            <x v="0"/>
          </reference>
          <reference field="6" count="1" selected="0">
            <x v="49"/>
          </reference>
        </references>
      </pivotArea>
    </chartFormat>
    <chartFormat chart="47" format="50" series="1">
      <pivotArea type="data" outline="0" fieldPosition="0">
        <references count="2">
          <reference field="4294967294" count="1" selected="0">
            <x v="0"/>
          </reference>
          <reference field="6" count="1" selected="0">
            <x v="50"/>
          </reference>
        </references>
      </pivotArea>
    </chartFormat>
    <chartFormat chart="47" format="51" series="1">
      <pivotArea type="data" outline="0" fieldPosition="0">
        <references count="2">
          <reference field="4294967294" count="1" selected="0">
            <x v="0"/>
          </reference>
          <reference field="6" count="1" selected="0">
            <x v="51"/>
          </reference>
        </references>
      </pivotArea>
    </chartFormat>
    <chartFormat chart="47" format="52" series="1">
      <pivotArea type="data" outline="0" fieldPosition="0">
        <references count="2">
          <reference field="4294967294" count="1" selected="0">
            <x v="0"/>
          </reference>
          <reference field="6" count="1" selected="0">
            <x v="52"/>
          </reference>
        </references>
      </pivotArea>
    </chartFormat>
    <chartFormat chart="47" format="53" series="1">
      <pivotArea type="data" outline="0" fieldPosition="0">
        <references count="2">
          <reference field="4294967294" count="1" selected="0">
            <x v="0"/>
          </reference>
          <reference field="6" count="1" selected="0">
            <x v="53"/>
          </reference>
        </references>
      </pivotArea>
    </chartFormat>
    <chartFormat chart="47" format="54" series="1">
      <pivotArea type="data" outline="0" fieldPosition="0">
        <references count="2">
          <reference field="4294967294" count="1" selected="0">
            <x v="0"/>
          </reference>
          <reference field="6" count="1" selected="0">
            <x v="54"/>
          </reference>
        </references>
      </pivotArea>
    </chartFormat>
    <chartFormat chart="47" format="55" series="1">
      <pivotArea type="data" outline="0" fieldPosition="0">
        <references count="2">
          <reference field="4294967294" count="1" selected="0">
            <x v="0"/>
          </reference>
          <reference field="6" count="1" selected="0">
            <x v="55"/>
          </reference>
        </references>
      </pivotArea>
    </chartFormat>
    <chartFormat chart="47" format="56" series="1">
      <pivotArea type="data" outline="0" fieldPosition="0">
        <references count="2">
          <reference field="4294967294" count="1" selected="0">
            <x v="0"/>
          </reference>
          <reference field="6" count="1" selected="0">
            <x v="56"/>
          </reference>
        </references>
      </pivotArea>
    </chartFormat>
    <chartFormat chart="47" format="57" series="1">
      <pivotArea type="data" outline="0" fieldPosition="0">
        <references count="2">
          <reference field="4294967294" count="1" selected="0">
            <x v="0"/>
          </reference>
          <reference field="6" count="1" selected="0">
            <x v="57"/>
          </reference>
        </references>
      </pivotArea>
    </chartFormat>
    <chartFormat chart="49" format="116" series="1">
      <pivotArea type="data" outline="0" fieldPosition="0">
        <references count="2">
          <reference field="4294967294" count="1" selected="0">
            <x v="0"/>
          </reference>
          <reference field="6" count="1" selected="0">
            <x v="0"/>
          </reference>
        </references>
      </pivotArea>
    </chartFormat>
    <chartFormat chart="49" format="117" series="1">
      <pivotArea type="data" outline="0" fieldPosition="0">
        <references count="2">
          <reference field="4294967294" count="1" selected="0">
            <x v="0"/>
          </reference>
          <reference field="6" count="1" selected="0">
            <x v="1"/>
          </reference>
        </references>
      </pivotArea>
    </chartFormat>
    <chartFormat chart="49" format="118" series="1">
      <pivotArea type="data" outline="0" fieldPosition="0">
        <references count="2">
          <reference field="4294967294" count="1" selected="0">
            <x v="0"/>
          </reference>
          <reference field="6" count="1" selected="0">
            <x v="2"/>
          </reference>
        </references>
      </pivotArea>
    </chartFormat>
    <chartFormat chart="49" format="119" series="1">
      <pivotArea type="data" outline="0" fieldPosition="0">
        <references count="2">
          <reference field="4294967294" count="1" selected="0">
            <x v="0"/>
          </reference>
          <reference field="6" count="1" selected="0">
            <x v="3"/>
          </reference>
        </references>
      </pivotArea>
    </chartFormat>
    <chartFormat chart="49" format="120" series="1">
      <pivotArea type="data" outline="0" fieldPosition="0">
        <references count="2">
          <reference field="4294967294" count="1" selected="0">
            <x v="0"/>
          </reference>
          <reference field="6" count="1" selected="0">
            <x v="4"/>
          </reference>
        </references>
      </pivotArea>
    </chartFormat>
    <chartFormat chart="49" format="121" series="1">
      <pivotArea type="data" outline="0" fieldPosition="0">
        <references count="2">
          <reference field="4294967294" count="1" selected="0">
            <x v="0"/>
          </reference>
          <reference field="6" count="1" selected="0">
            <x v="5"/>
          </reference>
        </references>
      </pivotArea>
    </chartFormat>
    <chartFormat chart="49" format="122" series="1">
      <pivotArea type="data" outline="0" fieldPosition="0">
        <references count="2">
          <reference field="4294967294" count="1" selected="0">
            <x v="0"/>
          </reference>
          <reference field="6" count="1" selected="0">
            <x v="6"/>
          </reference>
        </references>
      </pivotArea>
    </chartFormat>
    <chartFormat chart="49" format="123" series="1">
      <pivotArea type="data" outline="0" fieldPosition="0">
        <references count="2">
          <reference field="4294967294" count="1" selected="0">
            <x v="0"/>
          </reference>
          <reference field="6" count="1" selected="0">
            <x v="7"/>
          </reference>
        </references>
      </pivotArea>
    </chartFormat>
    <chartFormat chart="49" format="124" series="1">
      <pivotArea type="data" outline="0" fieldPosition="0">
        <references count="2">
          <reference field="4294967294" count="1" selected="0">
            <x v="0"/>
          </reference>
          <reference field="6" count="1" selected="0">
            <x v="8"/>
          </reference>
        </references>
      </pivotArea>
    </chartFormat>
    <chartFormat chart="49" format="125" series="1">
      <pivotArea type="data" outline="0" fieldPosition="0">
        <references count="2">
          <reference field="4294967294" count="1" selected="0">
            <x v="0"/>
          </reference>
          <reference field="6" count="1" selected="0">
            <x v="9"/>
          </reference>
        </references>
      </pivotArea>
    </chartFormat>
    <chartFormat chart="49" format="126" series="1">
      <pivotArea type="data" outline="0" fieldPosition="0">
        <references count="2">
          <reference field="4294967294" count="1" selected="0">
            <x v="0"/>
          </reference>
          <reference field="6" count="1" selected="0">
            <x v="10"/>
          </reference>
        </references>
      </pivotArea>
    </chartFormat>
    <chartFormat chart="49" format="127" series="1">
      <pivotArea type="data" outline="0" fieldPosition="0">
        <references count="2">
          <reference field="4294967294" count="1" selected="0">
            <x v="0"/>
          </reference>
          <reference field="6" count="1" selected="0">
            <x v="11"/>
          </reference>
        </references>
      </pivotArea>
    </chartFormat>
    <chartFormat chart="49" format="128" series="1">
      <pivotArea type="data" outline="0" fieldPosition="0">
        <references count="2">
          <reference field="4294967294" count="1" selected="0">
            <x v="0"/>
          </reference>
          <reference field="6" count="1" selected="0">
            <x v="12"/>
          </reference>
        </references>
      </pivotArea>
    </chartFormat>
    <chartFormat chart="49" format="129" series="1">
      <pivotArea type="data" outline="0" fieldPosition="0">
        <references count="2">
          <reference field="4294967294" count="1" selected="0">
            <x v="0"/>
          </reference>
          <reference field="6" count="1" selected="0">
            <x v="13"/>
          </reference>
        </references>
      </pivotArea>
    </chartFormat>
    <chartFormat chart="49" format="130" series="1">
      <pivotArea type="data" outline="0" fieldPosition="0">
        <references count="2">
          <reference field="4294967294" count="1" selected="0">
            <x v="0"/>
          </reference>
          <reference field="6" count="1" selected="0">
            <x v="14"/>
          </reference>
        </references>
      </pivotArea>
    </chartFormat>
    <chartFormat chart="49" format="131" series="1">
      <pivotArea type="data" outline="0" fieldPosition="0">
        <references count="2">
          <reference field="4294967294" count="1" selected="0">
            <x v="0"/>
          </reference>
          <reference field="6" count="1" selected="0">
            <x v="15"/>
          </reference>
        </references>
      </pivotArea>
    </chartFormat>
    <chartFormat chart="49" format="132" series="1">
      <pivotArea type="data" outline="0" fieldPosition="0">
        <references count="2">
          <reference field="4294967294" count="1" selected="0">
            <x v="0"/>
          </reference>
          <reference field="6" count="1" selected="0">
            <x v="16"/>
          </reference>
        </references>
      </pivotArea>
    </chartFormat>
    <chartFormat chart="49" format="133" series="1">
      <pivotArea type="data" outline="0" fieldPosition="0">
        <references count="2">
          <reference field="4294967294" count="1" selected="0">
            <x v="0"/>
          </reference>
          <reference field="6" count="1" selected="0">
            <x v="17"/>
          </reference>
        </references>
      </pivotArea>
    </chartFormat>
    <chartFormat chart="49" format="134" series="1">
      <pivotArea type="data" outline="0" fieldPosition="0">
        <references count="2">
          <reference field="4294967294" count="1" selected="0">
            <x v="0"/>
          </reference>
          <reference field="6" count="1" selected="0">
            <x v="18"/>
          </reference>
        </references>
      </pivotArea>
    </chartFormat>
    <chartFormat chart="49" format="135" series="1">
      <pivotArea type="data" outline="0" fieldPosition="0">
        <references count="2">
          <reference field="4294967294" count="1" selected="0">
            <x v="0"/>
          </reference>
          <reference field="6" count="1" selected="0">
            <x v="19"/>
          </reference>
        </references>
      </pivotArea>
    </chartFormat>
    <chartFormat chart="49" format="136" series="1">
      <pivotArea type="data" outline="0" fieldPosition="0">
        <references count="2">
          <reference field="4294967294" count="1" selected="0">
            <x v="0"/>
          </reference>
          <reference field="6" count="1" selected="0">
            <x v="20"/>
          </reference>
        </references>
      </pivotArea>
    </chartFormat>
    <chartFormat chart="49" format="137" series="1">
      <pivotArea type="data" outline="0" fieldPosition="0">
        <references count="2">
          <reference field="4294967294" count="1" selected="0">
            <x v="0"/>
          </reference>
          <reference field="6" count="1" selected="0">
            <x v="21"/>
          </reference>
        </references>
      </pivotArea>
    </chartFormat>
    <chartFormat chart="49" format="138" series="1">
      <pivotArea type="data" outline="0" fieldPosition="0">
        <references count="2">
          <reference field="4294967294" count="1" selected="0">
            <x v="0"/>
          </reference>
          <reference field="6" count="1" selected="0">
            <x v="22"/>
          </reference>
        </references>
      </pivotArea>
    </chartFormat>
    <chartFormat chart="49" format="139" series="1">
      <pivotArea type="data" outline="0" fieldPosition="0">
        <references count="2">
          <reference field="4294967294" count="1" selected="0">
            <x v="0"/>
          </reference>
          <reference field="6" count="1" selected="0">
            <x v="23"/>
          </reference>
        </references>
      </pivotArea>
    </chartFormat>
    <chartFormat chart="49" format="140" series="1">
      <pivotArea type="data" outline="0" fieldPosition="0">
        <references count="2">
          <reference field="4294967294" count="1" selected="0">
            <x v="0"/>
          </reference>
          <reference field="6" count="1" selected="0">
            <x v="24"/>
          </reference>
        </references>
      </pivotArea>
    </chartFormat>
    <chartFormat chart="49" format="141" series="1">
      <pivotArea type="data" outline="0" fieldPosition="0">
        <references count="2">
          <reference field="4294967294" count="1" selected="0">
            <x v="0"/>
          </reference>
          <reference field="6" count="1" selected="0">
            <x v="25"/>
          </reference>
        </references>
      </pivotArea>
    </chartFormat>
    <chartFormat chart="49" format="142" series="1">
      <pivotArea type="data" outline="0" fieldPosition="0">
        <references count="2">
          <reference field="4294967294" count="1" selected="0">
            <x v="0"/>
          </reference>
          <reference field="6" count="1" selected="0">
            <x v="26"/>
          </reference>
        </references>
      </pivotArea>
    </chartFormat>
    <chartFormat chart="49" format="143" series="1">
      <pivotArea type="data" outline="0" fieldPosition="0">
        <references count="2">
          <reference field="4294967294" count="1" selected="0">
            <x v="0"/>
          </reference>
          <reference field="6" count="1" selected="0">
            <x v="27"/>
          </reference>
        </references>
      </pivotArea>
    </chartFormat>
    <chartFormat chart="49" format="144" series="1">
      <pivotArea type="data" outline="0" fieldPosition="0">
        <references count="2">
          <reference field="4294967294" count="1" selected="0">
            <x v="0"/>
          </reference>
          <reference field="6" count="1" selected="0">
            <x v="28"/>
          </reference>
        </references>
      </pivotArea>
    </chartFormat>
    <chartFormat chart="49" format="145" series="1">
      <pivotArea type="data" outline="0" fieldPosition="0">
        <references count="2">
          <reference field="4294967294" count="1" selected="0">
            <x v="0"/>
          </reference>
          <reference field="6" count="1" selected="0">
            <x v="29"/>
          </reference>
        </references>
      </pivotArea>
    </chartFormat>
    <chartFormat chart="49" format="146" series="1">
      <pivotArea type="data" outline="0" fieldPosition="0">
        <references count="2">
          <reference field="4294967294" count="1" selected="0">
            <x v="0"/>
          </reference>
          <reference field="6" count="1" selected="0">
            <x v="30"/>
          </reference>
        </references>
      </pivotArea>
    </chartFormat>
    <chartFormat chart="49" format="147" series="1">
      <pivotArea type="data" outline="0" fieldPosition="0">
        <references count="2">
          <reference field="4294967294" count="1" selected="0">
            <x v="0"/>
          </reference>
          <reference field="6" count="1" selected="0">
            <x v="31"/>
          </reference>
        </references>
      </pivotArea>
    </chartFormat>
    <chartFormat chart="49" format="148" series="1">
      <pivotArea type="data" outline="0" fieldPosition="0">
        <references count="2">
          <reference field="4294967294" count="1" selected="0">
            <x v="0"/>
          </reference>
          <reference field="6" count="1" selected="0">
            <x v="32"/>
          </reference>
        </references>
      </pivotArea>
    </chartFormat>
    <chartFormat chart="49" format="149" series="1">
      <pivotArea type="data" outline="0" fieldPosition="0">
        <references count="2">
          <reference field="4294967294" count="1" selected="0">
            <x v="0"/>
          </reference>
          <reference field="6" count="1" selected="0">
            <x v="33"/>
          </reference>
        </references>
      </pivotArea>
    </chartFormat>
    <chartFormat chart="49" format="150" series="1">
      <pivotArea type="data" outline="0" fieldPosition="0">
        <references count="2">
          <reference field="4294967294" count="1" selected="0">
            <x v="0"/>
          </reference>
          <reference field="6" count="1" selected="0">
            <x v="34"/>
          </reference>
        </references>
      </pivotArea>
    </chartFormat>
    <chartFormat chart="49" format="151" series="1">
      <pivotArea type="data" outline="0" fieldPosition="0">
        <references count="2">
          <reference field="4294967294" count="1" selected="0">
            <x v="0"/>
          </reference>
          <reference field="6" count="1" selected="0">
            <x v="35"/>
          </reference>
        </references>
      </pivotArea>
    </chartFormat>
    <chartFormat chart="49" format="152" series="1">
      <pivotArea type="data" outline="0" fieldPosition="0">
        <references count="2">
          <reference field="4294967294" count="1" selected="0">
            <x v="0"/>
          </reference>
          <reference field="6" count="1" selected="0">
            <x v="36"/>
          </reference>
        </references>
      </pivotArea>
    </chartFormat>
    <chartFormat chart="49" format="153" series="1">
      <pivotArea type="data" outline="0" fieldPosition="0">
        <references count="2">
          <reference field="4294967294" count="1" selected="0">
            <x v="0"/>
          </reference>
          <reference field="6" count="1" selected="0">
            <x v="37"/>
          </reference>
        </references>
      </pivotArea>
    </chartFormat>
    <chartFormat chart="49" format="154" series="1">
      <pivotArea type="data" outline="0" fieldPosition="0">
        <references count="2">
          <reference field="4294967294" count="1" selected="0">
            <x v="0"/>
          </reference>
          <reference field="6" count="1" selected="0">
            <x v="38"/>
          </reference>
        </references>
      </pivotArea>
    </chartFormat>
    <chartFormat chart="49" format="155" series="1">
      <pivotArea type="data" outline="0" fieldPosition="0">
        <references count="2">
          <reference field="4294967294" count="1" selected="0">
            <x v="0"/>
          </reference>
          <reference field="6" count="1" selected="0">
            <x v="39"/>
          </reference>
        </references>
      </pivotArea>
    </chartFormat>
    <chartFormat chart="49" format="156" series="1">
      <pivotArea type="data" outline="0" fieldPosition="0">
        <references count="2">
          <reference field="4294967294" count="1" selected="0">
            <x v="0"/>
          </reference>
          <reference field="6" count="1" selected="0">
            <x v="40"/>
          </reference>
        </references>
      </pivotArea>
    </chartFormat>
    <chartFormat chart="49" format="157" series="1">
      <pivotArea type="data" outline="0" fieldPosition="0">
        <references count="2">
          <reference field="4294967294" count="1" selected="0">
            <x v="0"/>
          </reference>
          <reference field="6" count="1" selected="0">
            <x v="41"/>
          </reference>
        </references>
      </pivotArea>
    </chartFormat>
    <chartFormat chart="49" format="158" series="1">
      <pivotArea type="data" outline="0" fieldPosition="0">
        <references count="2">
          <reference field="4294967294" count="1" selected="0">
            <x v="0"/>
          </reference>
          <reference field="6" count="1" selected="0">
            <x v="42"/>
          </reference>
        </references>
      </pivotArea>
    </chartFormat>
    <chartFormat chart="49" format="159" series="1">
      <pivotArea type="data" outline="0" fieldPosition="0">
        <references count="2">
          <reference field="4294967294" count="1" selected="0">
            <x v="0"/>
          </reference>
          <reference field="6" count="1" selected="0">
            <x v="43"/>
          </reference>
        </references>
      </pivotArea>
    </chartFormat>
    <chartFormat chart="49" format="160" series="1">
      <pivotArea type="data" outline="0" fieldPosition="0">
        <references count="2">
          <reference field="4294967294" count="1" selected="0">
            <x v="0"/>
          </reference>
          <reference field="6" count="1" selected="0">
            <x v="44"/>
          </reference>
        </references>
      </pivotArea>
    </chartFormat>
    <chartFormat chart="49" format="161" series="1">
      <pivotArea type="data" outline="0" fieldPosition="0">
        <references count="2">
          <reference field="4294967294" count="1" selected="0">
            <x v="0"/>
          </reference>
          <reference field="6" count="1" selected="0">
            <x v="45"/>
          </reference>
        </references>
      </pivotArea>
    </chartFormat>
    <chartFormat chart="49" format="162" series="1">
      <pivotArea type="data" outline="0" fieldPosition="0">
        <references count="2">
          <reference field="4294967294" count="1" selected="0">
            <x v="0"/>
          </reference>
          <reference field="6" count="1" selected="0">
            <x v="46"/>
          </reference>
        </references>
      </pivotArea>
    </chartFormat>
    <chartFormat chart="49" format="163" series="1">
      <pivotArea type="data" outline="0" fieldPosition="0">
        <references count="2">
          <reference field="4294967294" count="1" selected="0">
            <x v="0"/>
          </reference>
          <reference field="6" count="1" selected="0">
            <x v="47"/>
          </reference>
        </references>
      </pivotArea>
    </chartFormat>
    <chartFormat chart="49" format="164" series="1">
      <pivotArea type="data" outline="0" fieldPosition="0">
        <references count="2">
          <reference field="4294967294" count="1" selected="0">
            <x v="0"/>
          </reference>
          <reference field="6" count="1" selected="0">
            <x v="48"/>
          </reference>
        </references>
      </pivotArea>
    </chartFormat>
    <chartFormat chart="49" format="165" series="1">
      <pivotArea type="data" outline="0" fieldPosition="0">
        <references count="2">
          <reference field="4294967294" count="1" selected="0">
            <x v="0"/>
          </reference>
          <reference field="6" count="1" selected="0">
            <x v="49"/>
          </reference>
        </references>
      </pivotArea>
    </chartFormat>
    <chartFormat chart="49" format="166" series="1">
      <pivotArea type="data" outline="0" fieldPosition="0">
        <references count="2">
          <reference field="4294967294" count="1" selected="0">
            <x v="0"/>
          </reference>
          <reference field="6" count="1" selected="0">
            <x v="50"/>
          </reference>
        </references>
      </pivotArea>
    </chartFormat>
    <chartFormat chart="49" format="167" series="1">
      <pivotArea type="data" outline="0" fieldPosition="0">
        <references count="2">
          <reference field="4294967294" count="1" selected="0">
            <x v="0"/>
          </reference>
          <reference field="6" count="1" selected="0">
            <x v="51"/>
          </reference>
        </references>
      </pivotArea>
    </chartFormat>
    <chartFormat chart="49" format="168" series="1">
      <pivotArea type="data" outline="0" fieldPosition="0">
        <references count="2">
          <reference field="4294967294" count="1" selected="0">
            <x v="0"/>
          </reference>
          <reference field="6" count="1" selected="0">
            <x v="52"/>
          </reference>
        </references>
      </pivotArea>
    </chartFormat>
    <chartFormat chart="49" format="169" series="1">
      <pivotArea type="data" outline="0" fieldPosition="0">
        <references count="2">
          <reference field="4294967294" count="1" selected="0">
            <x v="0"/>
          </reference>
          <reference field="6" count="1" selected="0">
            <x v="53"/>
          </reference>
        </references>
      </pivotArea>
    </chartFormat>
    <chartFormat chart="49" format="170" series="1">
      <pivotArea type="data" outline="0" fieldPosition="0">
        <references count="2">
          <reference field="4294967294" count="1" selected="0">
            <x v="0"/>
          </reference>
          <reference field="6" count="1" selected="0">
            <x v="54"/>
          </reference>
        </references>
      </pivotArea>
    </chartFormat>
    <chartFormat chart="49" format="171" series="1">
      <pivotArea type="data" outline="0" fieldPosition="0">
        <references count="2">
          <reference field="4294967294" count="1" selected="0">
            <x v="0"/>
          </reference>
          <reference field="6" count="1" selected="0">
            <x v="55"/>
          </reference>
        </references>
      </pivotArea>
    </chartFormat>
    <chartFormat chart="49" format="172" series="1">
      <pivotArea type="data" outline="0" fieldPosition="0">
        <references count="2">
          <reference field="4294967294" count="1" selected="0">
            <x v="0"/>
          </reference>
          <reference field="6" count="1" selected="0">
            <x v="56"/>
          </reference>
        </references>
      </pivotArea>
    </chartFormat>
    <chartFormat chart="49" format="173" series="1">
      <pivotArea type="data" outline="0" fieldPosition="0">
        <references count="2">
          <reference field="4294967294" count="1" selected="0">
            <x v="0"/>
          </reference>
          <reference field="6" count="1" selected="0">
            <x v="57"/>
          </reference>
        </references>
      </pivotArea>
    </chartFormat>
    <chartFormat chart="47" format="58" series="1">
      <pivotArea type="data" outline="0" fieldPosition="0">
        <references count="1">
          <reference field="4294967294" count="1" selected="0">
            <x v="0"/>
          </reference>
        </references>
      </pivotArea>
    </chartFormat>
    <chartFormat chart="49" format="17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4" colHeaderCaption="Supervisor">
  <location ref="A3:G10" firstHeaderRow="1" firstDataRow="2" firstDataCol="1"/>
  <pivotFields count="14">
    <pivotField numFmtId="14" showAll="0">
      <items count="15">
        <item h="1" x="0"/>
        <item h="1" x="1"/>
        <item h="1" x="2"/>
        <item x="3"/>
        <item x="4"/>
        <item h="1" x="5"/>
        <item x="6"/>
        <item h="1" x="7"/>
        <item h="1" x="8"/>
        <item h="1" x="9"/>
        <item x="10"/>
        <item x="11"/>
        <item h="1" x="12"/>
        <item h="1" x="13"/>
        <item t="default"/>
      </items>
    </pivotField>
    <pivotField showAll="0">
      <items count="3">
        <item x="0"/>
        <item x="1"/>
        <item t="default"/>
      </items>
    </pivotField>
    <pivotField numFmtId="164" showAll="0"/>
    <pivotField numFmtId="164" showAll="0"/>
    <pivotField showAll="0"/>
    <pivotField axis="axisRow" showAll="0">
      <items count="10">
        <item m="1" x="8"/>
        <item x="2"/>
        <item x="0"/>
        <item x="4"/>
        <item x="7"/>
        <item x="6"/>
        <item x="5"/>
        <item x="1"/>
        <item x="3"/>
        <item t="default"/>
      </items>
    </pivotField>
    <pivotField showAll="0">
      <items count="59">
        <item h="1" x="2"/>
        <item h="1" x="0"/>
        <item h="1" x="45"/>
        <item h="1" x="19"/>
        <item h="1" x="1"/>
        <item h="1" x="47"/>
        <item h="1" x="12"/>
        <item h="1" x="57"/>
        <item h="1" x="51"/>
        <item h="1" x="6"/>
        <item h="1" x="27"/>
        <item x="20"/>
        <item h="1" x="25"/>
        <item x="23"/>
        <item h="1" x="41"/>
        <item h="1" x="18"/>
        <item x="15"/>
        <item h="1" x="33"/>
        <item h="1" x="42"/>
        <item h="1" x="3"/>
        <item h="1" x="8"/>
        <item h="1" x="54"/>
        <item h="1" x="30"/>
        <item h="1" x="28"/>
        <item h="1" x="34"/>
        <item h="1" x="14"/>
        <item h="1" x="35"/>
        <item h="1" x="46"/>
        <item h="1" x="50"/>
        <item x="5"/>
        <item h="1" x="10"/>
        <item h="1" x="48"/>
        <item h="1" x="29"/>
        <item h="1" x="7"/>
        <item h="1" x="4"/>
        <item h="1" x="44"/>
        <item h="1" x="49"/>
        <item x="31"/>
        <item h="1" x="13"/>
        <item x="22"/>
        <item h="1" x="16"/>
        <item h="1" x="56"/>
        <item h="1" x="21"/>
        <item h="1" x="40"/>
        <item h="1" x="43"/>
        <item h="1" x="17"/>
        <item h="1" x="38"/>
        <item h="1" x="37"/>
        <item h="1" x="52"/>
        <item h="1" x="36"/>
        <item h="1" x="53"/>
        <item h="1" x="9"/>
        <item h="1" x="24"/>
        <item h="1" x="26"/>
        <item h="1" x="11"/>
        <item h="1" x="32"/>
        <item h="1" x="39"/>
        <item h="1" x="55"/>
        <item t="default"/>
      </items>
    </pivotField>
    <pivotField axis="axisCol" showAll="0">
      <items count="10">
        <item h="1" x="5"/>
        <item x="7"/>
        <item h="1" x="2"/>
        <item x="4"/>
        <item x="0"/>
        <item x="8"/>
        <item x="3"/>
        <item h="1" x="1"/>
        <item h="1" x="6"/>
        <item t="default"/>
      </items>
    </pivotField>
    <pivotField showAll="0"/>
    <pivotField showAll="0">
      <items count="6">
        <item x="0"/>
        <item x="1"/>
        <item x="3"/>
        <item x="4"/>
        <item x="2"/>
        <item t="default"/>
      </items>
    </pivotField>
    <pivotField showAll="0"/>
    <pivotField dataField="1" showAll="0"/>
    <pivotField showAll="0" defaultSubtotal="0"/>
    <pivotField showAll="0" defaultSubtotal="0">
      <items count="5">
        <item h="1" x="0"/>
        <item x="1"/>
        <item h="1" x="2"/>
        <item h="1" x="3"/>
        <item h="1" x="4"/>
      </items>
    </pivotField>
  </pivotFields>
  <rowFields count="1">
    <field x="5"/>
  </rowFields>
  <rowItems count="6">
    <i>
      <x v="2"/>
    </i>
    <i>
      <x v="3"/>
    </i>
    <i>
      <x v="4"/>
    </i>
    <i>
      <x v="6"/>
    </i>
    <i>
      <x v="8"/>
    </i>
    <i t="grand">
      <x/>
    </i>
  </rowItems>
  <colFields count="1">
    <field x="7"/>
  </colFields>
  <colItems count="6">
    <i>
      <x v="1"/>
    </i>
    <i>
      <x v="3"/>
    </i>
    <i>
      <x v="4"/>
    </i>
    <i>
      <x v="5"/>
    </i>
    <i>
      <x v="6"/>
    </i>
    <i t="grand">
      <x/>
    </i>
  </colItems>
  <dataFields count="1">
    <dataField name="Sum of Service Rating by Supervisor" fld="11" baseField="0" baseItem="0"/>
  </dataFields>
  <chartFormats count="20">
    <chartFormat chart="117" format="0" series="1">
      <pivotArea type="data" outline="0" fieldPosition="0">
        <references count="2">
          <reference field="4294967294" count="1" selected="0">
            <x v="0"/>
          </reference>
          <reference field="7" count="1" selected="0">
            <x v="0"/>
          </reference>
        </references>
      </pivotArea>
    </chartFormat>
    <chartFormat chart="117" format="1" series="1">
      <pivotArea type="data" outline="0" fieldPosition="0">
        <references count="2">
          <reference field="4294967294" count="1" selected="0">
            <x v="0"/>
          </reference>
          <reference field="7" count="1" selected="0">
            <x v="1"/>
          </reference>
        </references>
      </pivotArea>
    </chartFormat>
    <chartFormat chart="117" format="2" series="1">
      <pivotArea type="data" outline="0" fieldPosition="0">
        <references count="2">
          <reference field="4294967294" count="1" selected="0">
            <x v="0"/>
          </reference>
          <reference field="7" count="1" selected="0">
            <x v="2"/>
          </reference>
        </references>
      </pivotArea>
    </chartFormat>
    <chartFormat chart="117" format="3" series="1">
      <pivotArea type="data" outline="0" fieldPosition="0">
        <references count="2">
          <reference field="4294967294" count="1" selected="0">
            <x v="0"/>
          </reference>
          <reference field="7" count="1" selected="0">
            <x v="3"/>
          </reference>
        </references>
      </pivotArea>
    </chartFormat>
    <chartFormat chart="117" format="4" series="1">
      <pivotArea type="data" outline="0" fieldPosition="0">
        <references count="2">
          <reference field="4294967294" count="1" selected="0">
            <x v="0"/>
          </reference>
          <reference field="7" count="1" selected="0">
            <x v="4"/>
          </reference>
        </references>
      </pivotArea>
    </chartFormat>
    <chartFormat chart="117" format="5" series="1">
      <pivotArea type="data" outline="0" fieldPosition="0">
        <references count="2">
          <reference field="4294967294" count="1" selected="0">
            <x v="0"/>
          </reference>
          <reference field="7" count="1" selected="0">
            <x v="5"/>
          </reference>
        </references>
      </pivotArea>
    </chartFormat>
    <chartFormat chart="117" format="6" series="1">
      <pivotArea type="data" outline="0" fieldPosition="0">
        <references count="2">
          <reference field="4294967294" count="1" selected="0">
            <x v="0"/>
          </reference>
          <reference field="7" count="1" selected="0">
            <x v="6"/>
          </reference>
        </references>
      </pivotArea>
    </chartFormat>
    <chartFormat chart="117" format="7" series="1">
      <pivotArea type="data" outline="0" fieldPosition="0">
        <references count="2">
          <reference field="4294967294" count="1" selected="0">
            <x v="0"/>
          </reference>
          <reference field="7" count="1" selected="0">
            <x v="7"/>
          </reference>
        </references>
      </pivotArea>
    </chartFormat>
    <chartFormat chart="117" format="8" series="1">
      <pivotArea type="data" outline="0" fieldPosition="0">
        <references count="2">
          <reference field="4294967294" count="1" selected="0">
            <x v="0"/>
          </reference>
          <reference field="7" count="1" selected="0">
            <x v="8"/>
          </reference>
        </references>
      </pivotArea>
    </chartFormat>
    <chartFormat chart="123" format="18" series="1">
      <pivotArea type="data" outline="0" fieldPosition="0">
        <references count="2">
          <reference field="4294967294" count="1" selected="0">
            <x v="0"/>
          </reference>
          <reference field="7" count="1" selected="0">
            <x v="0"/>
          </reference>
        </references>
      </pivotArea>
    </chartFormat>
    <chartFormat chart="123" format="19" series="1">
      <pivotArea type="data" outline="0" fieldPosition="0">
        <references count="2">
          <reference field="4294967294" count="1" selected="0">
            <x v="0"/>
          </reference>
          <reference field="7" count="1" selected="0">
            <x v="1"/>
          </reference>
        </references>
      </pivotArea>
    </chartFormat>
    <chartFormat chart="123" format="20" series="1">
      <pivotArea type="data" outline="0" fieldPosition="0">
        <references count="2">
          <reference field="4294967294" count="1" selected="0">
            <x v="0"/>
          </reference>
          <reference field="7" count="1" selected="0">
            <x v="2"/>
          </reference>
        </references>
      </pivotArea>
    </chartFormat>
    <chartFormat chart="123" format="21" series="1">
      <pivotArea type="data" outline="0" fieldPosition="0">
        <references count="2">
          <reference field="4294967294" count="1" selected="0">
            <x v="0"/>
          </reference>
          <reference field="7" count="1" selected="0">
            <x v="3"/>
          </reference>
        </references>
      </pivotArea>
    </chartFormat>
    <chartFormat chart="123" format="22" series="1">
      <pivotArea type="data" outline="0" fieldPosition="0">
        <references count="2">
          <reference field="4294967294" count="1" selected="0">
            <x v="0"/>
          </reference>
          <reference field="7" count="1" selected="0">
            <x v="4"/>
          </reference>
        </references>
      </pivotArea>
    </chartFormat>
    <chartFormat chart="123" format="23" series="1">
      <pivotArea type="data" outline="0" fieldPosition="0">
        <references count="2">
          <reference field="4294967294" count="1" selected="0">
            <x v="0"/>
          </reference>
          <reference field="7" count="1" selected="0">
            <x v="5"/>
          </reference>
        </references>
      </pivotArea>
    </chartFormat>
    <chartFormat chart="123" format="24" series="1">
      <pivotArea type="data" outline="0" fieldPosition="0">
        <references count="2">
          <reference field="4294967294" count="1" selected="0">
            <x v="0"/>
          </reference>
          <reference field="7" count="1" selected="0">
            <x v="6"/>
          </reference>
        </references>
      </pivotArea>
    </chartFormat>
    <chartFormat chart="123" format="25" series="1">
      <pivotArea type="data" outline="0" fieldPosition="0">
        <references count="2">
          <reference field="4294967294" count="1" selected="0">
            <x v="0"/>
          </reference>
          <reference field="7" count="1" selected="0">
            <x v="7"/>
          </reference>
        </references>
      </pivotArea>
    </chartFormat>
    <chartFormat chart="123" format="26" series="1">
      <pivotArea type="data" outline="0" fieldPosition="0">
        <references count="2">
          <reference field="4294967294" count="1" selected="0">
            <x v="0"/>
          </reference>
          <reference field="7" count="1" selected="0">
            <x v="8"/>
          </reference>
        </references>
      </pivotArea>
    </chartFormat>
    <chartFormat chart="117" format="9" series="1">
      <pivotArea type="data" outline="0" fieldPosition="0">
        <references count="1">
          <reference field="4294967294" count="1" selected="0">
            <x v="0"/>
          </reference>
        </references>
      </pivotArea>
    </chartFormat>
    <chartFormat chart="123"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6" rowHeaderCaption="Division" colHeaderCaption="Service Type">
  <location ref="A3:G10" firstHeaderRow="1" firstDataRow="2" firstDataCol="1"/>
  <pivotFields count="14">
    <pivotField numFmtId="14" showAll="0">
      <items count="15">
        <item h="1" x="0"/>
        <item h="1" x="1"/>
        <item h="1" x="2"/>
        <item x="3"/>
        <item x="4"/>
        <item h="1" x="5"/>
        <item x="6"/>
        <item h="1" x="7"/>
        <item h="1" x="8"/>
        <item h="1" x="9"/>
        <item x="10"/>
        <item x="11"/>
        <item h="1" x="12"/>
        <item h="1" x="13"/>
        <item t="default"/>
      </items>
    </pivotField>
    <pivotField showAll="0">
      <items count="3">
        <item x="0"/>
        <item x="1"/>
        <item t="default"/>
      </items>
    </pivotField>
    <pivotField numFmtId="164" showAll="0"/>
    <pivotField numFmtId="164" showAll="0"/>
    <pivotField showAll="0"/>
    <pivotField axis="axisCol" showAll="0">
      <items count="10">
        <item m="1" x="8"/>
        <item x="2"/>
        <item x="0"/>
        <item x="4"/>
        <item x="7"/>
        <item x="6"/>
        <item x="5"/>
        <item x="1"/>
        <item x="3"/>
        <item t="default"/>
      </items>
    </pivotField>
    <pivotField showAll="0">
      <items count="59">
        <item h="1" x="2"/>
        <item h="1" x="0"/>
        <item h="1" x="45"/>
        <item h="1" x="19"/>
        <item h="1" x="1"/>
        <item h="1" x="47"/>
        <item h="1" x="12"/>
        <item h="1" x="57"/>
        <item h="1" x="51"/>
        <item h="1" x="6"/>
        <item h="1" x="27"/>
        <item x="20"/>
        <item h="1" x="25"/>
        <item x="23"/>
        <item h="1" x="41"/>
        <item h="1" x="18"/>
        <item x="15"/>
        <item h="1" x="33"/>
        <item h="1" x="42"/>
        <item h="1" x="3"/>
        <item h="1" x="8"/>
        <item h="1" x="54"/>
        <item h="1" x="30"/>
        <item h="1" x="28"/>
        <item h="1" x="34"/>
        <item h="1" x="14"/>
        <item h="1" x="35"/>
        <item h="1" x="46"/>
        <item h="1" x="50"/>
        <item x="5"/>
        <item h="1" x="10"/>
        <item h="1" x="48"/>
        <item h="1" x="29"/>
        <item h="1" x="7"/>
        <item h="1" x="4"/>
        <item h="1" x="44"/>
        <item h="1" x="49"/>
        <item x="31"/>
        <item h="1" x="13"/>
        <item x="22"/>
        <item h="1" x="16"/>
        <item h="1" x="56"/>
        <item h="1" x="21"/>
        <item h="1" x="40"/>
        <item h="1" x="43"/>
        <item h="1" x="17"/>
        <item h="1" x="38"/>
        <item h="1" x="37"/>
        <item h="1" x="52"/>
        <item h="1" x="36"/>
        <item h="1" x="53"/>
        <item h="1" x="9"/>
        <item h="1" x="24"/>
        <item h="1" x="26"/>
        <item h="1" x="11"/>
        <item h="1" x="32"/>
        <item h="1" x="39"/>
        <item h="1" x="55"/>
        <item t="default"/>
      </items>
    </pivotField>
    <pivotField showAll="0">
      <items count="10">
        <item h="1" x="5"/>
        <item x="7"/>
        <item h="1" x="2"/>
        <item x="4"/>
        <item x="0"/>
        <item x="8"/>
        <item x="3"/>
        <item h="1" x="1"/>
        <item h="1" x="6"/>
        <item t="default"/>
      </items>
    </pivotField>
    <pivotField showAll="0"/>
    <pivotField axis="axisRow" showAll="0">
      <items count="6">
        <item x="0"/>
        <item x="1"/>
        <item x="3"/>
        <item x="4"/>
        <item x="2"/>
        <item t="default"/>
      </items>
    </pivotField>
    <pivotField showAll="0"/>
    <pivotField dataField="1" showAll="0"/>
    <pivotField showAll="0" defaultSubtotal="0"/>
    <pivotField showAll="0" defaultSubtotal="0">
      <items count="5">
        <item h="1" x="0"/>
        <item x="1"/>
        <item h="1" x="2"/>
        <item h="1" x="3"/>
        <item h="1" x="4"/>
      </items>
    </pivotField>
  </pivotFields>
  <rowFields count="1">
    <field x="9"/>
  </rowFields>
  <rowItems count="6">
    <i>
      <x/>
    </i>
    <i>
      <x v="1"/>
    </i>
    <i>
      <x v="2"/>
    </i>
    <i>
      <x v="3"/>
    </i>
    <i>
      <x v="4"/>
    </i>
    <i t="grand">
      <x/>
    </i>
  </rowItems>
  <colFields count="1">
    <field x="5"/>
  </colFields>
  <colItems count="6">
    <i>
      <x v="2"/>
    </i>
    <i>
      <x v="3"/>
    </i>
    <i>
      <x v="4"/>
    </i>
    <i>
      <x v="6"/>
    </i>
    <i>
      <x v="8"/>
    </i>
    <i t="grand">
      <x/>
    </i>
  </colItems>
  <dataFields count="1">
    <dataField name="Sum of Service Rating By Division" fld="11" baseField="0" baseItem="0"/>
  </dataFields>
  <chartFormats count="26">
    <chartFormat chart="60" format="0" series="1">
      <pivotArea type="data" outline="0" fieldPosition="0">
        <references count="2">
          <reference field="4294967294" count="1" selected="0">
            <x v="0"/>
          </reference>
          <reference field="5" count="1" selected="0">
            <x v="1"/>
          </reference>
        </references>
      </pivotArea>
    </chartFormat>
    <chartFormat chart="60" format="1" series="1">
      <pivotArea type="data" outline="0" fieldPosition="0">
        <references count="2">
          <reference field="4294967294" count="1" selected="0">
            <x v="0"/>
          </reference>
          <reference field="5" count="1" selected="0">
            <x v="2"/>
          </reference>
        </references>
      </pivotArea>
    </chartFormat>
    <chartFormat chart="60" format="2" series="1">
      <pivotArea type="data" outline="0" fieldPosition="0">
        <references count="2">
          <reference field="4294967294" count="1" selected="0">
            <x v="0"/>
          </reference>
          <reference field="5" count="1" selected="0">
            <x v="3"/>
          </reference>
        </references>
      </pivotArea>
    </chartFormat>
    <chartFormat chart="60" format="3" series="1">
      <pivotArea type="data" outline="0" fieldPosition="0">
        <references count="2">
          <reference field="4294967294" count="1" selected="0">
            <x v="0"/>
          </reference>
          <reference field="5" count="1" selected="0">
            <x v="4"/>
          </reference>
        </references>
      </pivotArea>
    </chartFormat>
    <chartFormat chart="60" format="4" series="1">
      <pivotArea type="data" outline="0" fieldPosition="0">
        <references count="2">
          <reference field="4294967294" count="1" selected="0">
            <x v="0"/>
          </reference>
          <reference field="5" count="1" selected="0">
            <x v="5"/>
          </reference>
        </references>
      </pivotArea>
    </chartFormat>
    <chartFormat chart="60" format="5" series="1">
      <pivotArea type="data" outline="0" fieldPosition="0">
        <references count="2">
          <reference field="4294967294" count="1" selected="0">
            <x v="0"/>
          </reference>
          <reference field="5" count="1" selected="0">
            <x v="6"/>
          </reference>
        </references>
      </pivotArea>
    </chartFormat>
    <chartFormat chart="60" format="6" series="1">
      <pivotArea type="data" outline="0" fieldPosition="0">
        <references count="2">
          <reference field="4294967294" count="1" selected="0">
            <x v="0"/>
          </reference>
          <reference field="5" count="1" selected="0">
            <x v="7"/>
          </reference>
        </references>
      </pivotArea>
    </chartFormat>
    <chartFormat chart="60" format="7" series="1">
      <pivotArea type="data" outline="0" fieldPosition="0">
        <references count="2">
          <reference field="4294967294" count="1" selected="0">
            <x v="0"/>
          </reference>
          <reference field="5" count="1" selected="0">
            <x v="8"/>
          </reference>
        </references>
      </pivotArea>
    </chartFormat>
    <chartFormat chart="64" format="8" series="1">
      <pivotArea type="data" outline="0" fieldPosition="0">
        <references count="2">
          <reference field="4294967294" count="1" selected="0">
            <x v="0"/>
          </reference>
          <reference field="5" count="1" selected="0">
            <x v="1"/>
          </reference>
        </references>
      </pivotArea>
    </chartFormat>
    <chartFormat chart="64" format="9" series="1">
      <pivotArea type="data" outline="0" fieldPosition="0">
        <references count="2">
          <reference field="4294967294" count="1" selected="0">
            <x v="0"/>
          </reference>
          <reference field="5" count="1" selected="0">
            <x v="2"/>
          </reference>
        </references>
      </pivotArea>
    </chartFormat>
    <chartFormat chart="64" format="10" series="1">
      <pivotArea type="data" outline="0" fieldPosition="0">
        <references count="2">
          <reference field="4294967294" count="1" selected="0">
            <x v="0"/>
          </reference>
          <reference field="5" count="1" selected="0">
            <x v="3"/>
          </reference>
        </references>
      </pivotArea>
    </chartFormat>
    <chartFormat chart="64" format="11" series="1">
      <pivotArea type="data" outline="0" fieldPosition="0">
        <references count="2">
          <reference field="4294967294" count="1" selected="0">
            <x v="0"/>
          </reference>
          <reference field="5" count="1" selected="0">
            <x v="4"/>
          </reference>
        </references>
      </pivotArea>
    </chartFormat>
    <chartFormat chart="64" format="12" series="1">
      <pivotArea type="data" outline="0" fieldPosition="0">
        <references count="2">
          <reference field="4294967294" count="1" selected="0">
            <x v="0"/>
          </reference>
          <reference field="5" count="1" selected="0">
            <x v="5"/>
          </reference>
        </references>
      </pivotArea>
    </chartFormat>
    <chartFormat chart="64" format="13" series="1">
      <pivotArea type="data" outline="0" fieldPosition="0">
        <references count="2">
          <reference field="4294967294" count="1" selected="0">
            <x v="0"/>
          </reference>
          <reference field="5" count="1" selected="0">
            <x v="6"/>
          </reference>
        </references>
      </pivotArea>
    </chartFormat>
    <chartFormat chart="64" format="14" series="1">
      <pivotArea type="data" outline="0" fieldPosition="0">
        <references count="2">
          <reference field="4294967294" count="1" selected="0">
            <x v="0"/>
          </reference>
          <reference field="5" count="1" selected="0">
            <x v="7"/>
          </reference>
        </references>
      </pivotArea>
    </chartFormat>
    <chartFormat chart="64" format="15" series="1">
      <pivotArea type="data" outline="0" fieldPosition="0">
        <references count="2">
          <reference field="4294967294" count="1" selected="0">
            <x v="0"/>
          </reference>
          <reference field="5" count="1" selected="0">
            <x v="8"/>
          </reference>
        </references>
      </pivotArea>
    </chartFormat>
    <chartFormat chart="65" format="16" series="1">
      <pivotArea type="data" outline="0" fieldPosition="0">
        <references count="2">
          <reference field="4294967294" count="1" selected="0">
            <x v="0"/>
          </reference>
          <reference field="5" count="1" selected="0">
            <x v="1"/>
          </reference>
        </references>
      </pivotArea>
    </chartFormat>
    <chartFormat chart="65" format="17" series="1">
      <pivotArea type="data" outline="0" fieldPosition="0">
        <references count="2">
          <reference field="4294967294" count="1" selected="0">
            <x v="0"/>
          </reference>
          <reference field="5" count="1" selected="0">
            <x v="2"/>
          </reference>
        </references>
      </pivotArea>
    </chartFormat>
    <chartFormat chart="65" format="18" series="1">
      <pivotArea type="data" outline="0" fieldPosition="0">
        <references count="2">
          <reference field="4294967294" count="1" selected="0">
            <x v="0"/>
          </reference>
          <reference field="5" count="1" selected="0">
            <x v="3"/>
          </reference>
        </references>
      </pivotArea>
    </chartFormat>
    <chartFormat chart="65" format="19" series="1">
      <pivotArea type="data" outline="0" fieldPosition="0">
        <references count="2">
          <reference field="4294967294" count="1" selected="0">
            <x v="0"/>
          </reference>
          <reference field="5" count="1" selected="0">
            <x v="4"/>
          </reference>
        </references>
      </pivotArea>
    </chartFormat>
    <chartFormat chart="65" format="20" series="1">
      <pivotArea type="data" outline="0" fieldPosition="0">
        <references count="2">
          <reference field="4294967294" count="1" selected="0">
            <x v="0"/>
          </reference>
          <reference field="5" count="1" selected="0">
            <x v="5"/>
          </reference>
        </references>
      </pivotArea>
    </chartFormat>
    <chartFormat chart="65" format="21" series="1">
      <pivotArea type="data" outline="0" fieldPosition="0">
        <references count="2">
          <reference field="4294967294" count="1" selected="0">
            <x v="0"/>
          </reference>
          <reference field="5" count="1" selected="0">
            <x v="6"/>
          </reference>
        </references>
      </pivotArea>
    </chartFormat>
    <chartFormat chart="65" format="22" series="1">
      <pivotArea type="data" outline="0" fieldPosition="0">
        <references count="2">
          <reference field="4294967294" count="1" selected="0">
            <x v="0"/>
          </reference>
          <reference field="5" count="1" selected="0">
            <x v="7"/>
          </reference>
        </references>
      </pivotArea>
    </chartFormat>
    <chartFormat chart="65" format="23" series="1">
      <pivotArea type="data" outline="0" fieldPosition="0">
        <references count="2">
          <reference field="4294967294" count="1" selected="0">
            <x v="0"/>
          </reference>
          <reference field="5" count="1" selected="0">
            <x v="8"/>
          </reference>
        </references>
      </pivotArea>
    </chartFormat>
    <chartFormat chart="60" format="8" series="1">
      <pivotArea type="data" outline="0" fieldPosition="0">
        <references count="1">
          <reference field="4294967294" count="1" selected="0">
            <x v="0"/>
          </reference>
        </references>
      </pivotArea>
    </chartFormat>
    <chartFormat chart="65"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00000000-0013-0000-FFFF-FFFF01000000}" sourceName="Employee">
  <pivotTables>
    <pivotTable tabId="4" name="PivotTable5"/>
    <pivotTable tabId="9" name="PivotTable5"/>
    <pivotTable tabId="7" name="PivotTable3"/>
    <pivotTable tabId="6" name="PivotTable2"/>
    <pivotTable tabId="8" name="PivotTable4"/>
    <pivotTable tabId="2" name="PivotTable4"/>
  </pivotTables>
  <data>
    <tabular pivotCacheId="1509202100">
      <items count="58">
        <i x="20" s="1"/>
        <i x="23" s="1"/>
        <i x="15" s="1"/>
        <i x="5" s="1"/>
        <i x="10"/>
        <i x="4"/>
        <i x="22" s="1"/>
        <i x="21"/>
        <i x="2" nd="1"/>
        <i x="0" nd="1"/>
        <i x="45" nd="1"/>
        <i x="19" nd="1"/>
        <i x="1" nd="1"/>
        <i x="47" nd="1"/>
        <i x="12" nd="1"/>
        <i x="57" nd="1"/>
        <i x="51" nd="1"/>
        <i x="6" nd="1"/>
        <i x="27" nd="1"/>
        <i x="25" nd="1"/>
        <i x="41" nd="1"/>
        <i x="18" nd="1"/>
        <i x="33" nd="1"/>
        <i x="42" nd="1"/>
        <i x="3" nd="1"/>
        <i x="8" nd="1"/>
        <i x="54" nd="1"/>
        <i x="30" nd="1"/>
        <i x="28" nd="1"/>
        <i x="34" nd="1"/>
        <i x="14" nd="1"/>
        <i x="35" nd="1"/>
        <i x="46" nd="1"/>
        <i x="50" nd="1"/>
        <i x="48" nd="1"/>
        <i x="29" nd="1"/>
        <i x="7" nd="1"/>
        <i x="44" nd="1"/>
        <i x="49" nd="1"/>
        <i x="31" s="1" nd="1"/>
        <i x="13" nd="1"/>
        <i x="16" nd="1"/>
        <i x="56" nd="1"/>
        <i x="40" nd="1"/>
        <i x="43" nd="1"/>
        <i x="17" nd="1"/>
        <i x="38" nd="1"/>
        <i x="37" nd="1"/>
        <i x="52" nd="1"/>
        <i x="36" nd="1"/>
        <i x="53" nd="1"/>
        <i x="9" nd="1"/>
        <i x="24" nd="1"/>
        <i x="26" nd="1"/>
        <i x="11" nd="1"/>
        <i x="32" nd="1"/>
        <i x="39" nd="1"/>
        <i x="5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2000000}" sourceName="Date">
  <pivotTables>
    <pivotTable tabId="2" name="PivotTable4"/>
    <pivotTable tabId="4" name="PivotTable5"/>
    <pivotTable tabId="9" name="PivotTable5"/>
    <pivotTable tabId="7" name="PivotTable3"/>
    <pivotTable tabId="6" name="PivotTable2"/>
    <pivotTable tabId="8" name="PivotTable4"/>
  </pivotTables>
  <data>
    <tabular pivotCacheId="1509202100">
      <items count="14">
        <i x="4" s="1"/>
        <i x="8"/>
        <i x="10" s="1"/>
        <i x="11" s="1"/>
        <i x="1" nd="1"/>
        <i x="2" nd="1"/>
        <i x="3" s="1" nd="1"/>
        <i x="5" nd="1"/>
        <i x="6" s="1" nd="1"/>
        <i x="7" nd="1"/>
        <i x="9" nd="1"/>
        <i x="12" nd="1"/>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3000000}" sourceName="Years">
  <pivotTables>
    <pivotTable tabId="2" name="PivotTable4"/>
    <pivotTable tabId="4" name="PivotTable5"/>
    <pivotTable tabId="9" name="PivotTable5"/>
    <pivotTable tabId="7" name="PivotTable3"/>
    <pivotTable tabId="6" name="PivotTable2"/>
    <pivotTable tabId="8" name="PivotTable4"/>
  </pivotTables>
  <data>
    <tabular pivotCacheId="1509202100" customListSort="0">
      <items count="5">
        <i x="1" s="1"/>
        <i x="2"/>
        <i x="3"/>
        <i x="0"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00000000-0013-0000-FFFF-FFFF04000000}" sourceName="Division">
  <pivotTables>
    <pivotTable tabId="9" name="PivotTable5"/>
    <pivotTable tabId="4" name="PivotTable5"/>
    <pivotTable tabId="7" name="PivotTable3"/>
    <pivotTable tabId="6" name="PivotTable2"/>
    <pivotTable tabId="8" name="PivotTable4"/>
    <pivotTable tabId="2" name="PivotTable4"/>
  </pivotTables>
  <data>
    <tabular pivotCacheId="1509202100">
      <items count="5">
        <i x="0" s="1"/>
        <i x="1"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0000000-0013-0000-FFFF-FFFF05000000}" sourceName="Shift">
  <pivotTables>
    <pivotTable tabId="6" name="PivotTable2"/>
    <pivotTable tabId="4" name="PivotTable5"/>
    <pivotTable tabId="9" name="PivotTable5"/>
    <pivotTable tabId="7" name="PivotTable3"/>
    <pivotTable tabId="8" name="PivotTable4"/>
    <pivotTable tabId="2" name="PivotTable4"/>
  </pivotTables>
  <data>
    <tabular pivotCacheId="150920210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 xr10:uid="{00000000-0013-0000-FFFF-FFFF06000000}" sourceName="Supervisor">
  <pivotTables>
    <pivotTable tabId="8" name="PivotTable4"/>
    <pivotTable tabId="4" name="PivotTable5"/>
    <pivotTable tabId="9" name="PivotTable5"/>
    <pivotTable tabId="7" name="PivotTable3"/>
    <pivotTable tabId="6" name="PivotTable2"/>
    <pivotTable tabId="2" name="PivotTable4"/>
  </pivotTables>
  <data>
    <tabular pivotCacheId="1509202100">
      <items count="9">
        <i x="7" s="1"/>
        <i x="4" s="1"/>
        <i x="0" s="1"/>
        <i x="8" s="1"/>
        <i x="3" s="1"/>
        <i x="5" nd="1"/>
        <i x="2" nd="1"/>
        <i x="1"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00000000-0014-0000-FFFF-FFFF01000000}" cache="Slicer_Employee" caption="Employee" rowHeight="241300"/>
  <slicer name="Date" xr10:uid="{00000000-0014-0000-FFFF-FFFF02000000}" cache="Slicer_Date" caption="Date" startItem="2" rowHeight="241300"/>
  <slicer name="Years" xr10:uid="{00000000-0014-0000-FFFF-FFFF03000000}" cache="Slicer_Years" caption="Years" rowHeight="241300"/>
  <slicer name="Division" xr10:uid="{00000000-0014-0000-FFFF-FFFF04000000}" cache="Slicer_Division" caption="Division" rowHeight="241300"/>
  <slicer name="Shift" xr10:uid="{00000000-0014-0000-FFFF-FFFF05000000}" cache="Slicer_Shift" caption="Shift" rowHeight="241300"/>
  <slicer name="Supervisor" xr10:uid="{00000000-0014-0000-FFFF-FFFF06000000}" cache="Slicer_Supervisor" caption="Supervis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L101" totalsRowShown="0" headerRowDxfId="1580">
  <autoFilter ref="A1:L101" xr:uid="{00000000-0009-0000-0100-000002000000}"/>
  <tableColumns count="12">
    <tableColumn id="1" xr3:uid="{00000000-0010-0000-0000-000001000000}" name="Date" dataDxfId="1579"/>
    <tableColumn id="2" xr3:uid="{00000000-0010-0000-0000-000002000000}" name="Shift" dataDxfId="1578"/>
    <tableColumn id="3" xr3:uid="{00000000-0010-0000-0000-000003000000}" name="Punch In" dataDxfId="1577"/>
    <tableColumn id="4" xr3:uid="{00000000-0010-0000-0000-000004000000}" name="Punch Out" dataDxfId="1576"/>
    <tableColumn id="5" xr3:uid="{00000000-0010-0000-0000-000005000000}" name="No of Hour" dataDxfId="1575"/>
    <tableColumn id="6" xr3:uid="{00000000-0010-0000-0000-000006000000}" name="Service Type" dataDxfId="1574"/>
    <tableColumn id="7" xr3:uid="{00000000-0010-0000-0000-000007000000}" name="Employee" dataDxfId="1573"/>
    <tableColumn id="8" xr3:uid="{00000000-0010-0000-0000-000008000000}" name="Supervisor" dataDxfId="1572"/>
    <tableColumn id="9" xr3:uid="{00000000-0010-0000-0000-000009000000}" name="Manager" dataDxfId="1571"/>
    <tableColumn id="10" xr3:uid="{00000000-0010-0000-0000-00000A000000}" name="Division" dataDxfId="1570"/>
    <tableColumn id="11" xr3:uid="{00000000-0010-0000-0000-00000B000000}" name="Customer" dataDxfId="1569"/>
    <tableColumn id="12" xr3:uid="{00000000-0010-0000-0000-00000C000000}" name="Service Rating" dataDxfId="1568"/>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84"/>
  <sheetViews>
    <sheetView tabSelected="1" topLeftCell="A23" zoomScale="70" zoomScaleNormal="70" workbookViewId="0">
      <selection activeCell="R89" sqref="R89"/>
    </sheetView>
  </sheetViews>
  <sheetFormatPr defaultRowHeight="15" x14ac:dyDescent="0.25"/>
  <cols>
    <col min="2" max="2" width="41.42578125" customWidth="1"/>
    <col min="3" max="3" width="17.140625" customWidth="1"/>
    <col min="6" max="6" width="12.140625" customWidth="1"/>
    <col min="62" max="62" width="11.140625" customWidth="1"/>
    <col min="63" max="65" width="11.7109375" customWidth="1"/>
    <col min="66" max="66" width="11.42578125" customWidth="1"/>
    <col min="67" max="67" width="11.7109375" customWidth="1"/>
  </cols>
  <sheetData>
    <row r="1" spans="1:5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row>
    <row r="2" spans="1:5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row>
    <row r="3" spans="1:5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row>
    <row r="4" spans="1:5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row>
    <row r="5" spans="1:5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row>
    <row r="6" spans="1:5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row>
    <row r="7" spans="1:5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row>
    <row r="8" spans="1:5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row>
    <row r="9" spans="1:5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row>
    <row r="10" spans="1:5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row>
    <row r="11" spans="1:5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row>
    <row r="12" spans="1:5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row>
    <row r="13" spans="1:5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row>
    <row r="14" spans="1:5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row>
    <row r="15" spans="1:5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row>
    <row r="16" spans="1:5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row>
    <row r="17" spans="1:5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row>
    <row r="18" spans="1:5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row>
    <row r="19" spans="1:5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row>
    <row r="20" spans="1:5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row>
    <row r="21" spans="1:56"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row>
    <row r="22" spans="1:56"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row>
    <row r="23" spans="1:56"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row>
    <row r="24" spans="1:56"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row>
    <row r="25" spans="1:56"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row>
    <row r="26" spans="1:56"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row>
    <row r="27" spans="1:56"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row>
    <row r="28" spans="1:56"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row>
    <row r="29" spans="1:5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row>
    <row r="30" spans="1:5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row>
    <row r="31" spans="1:56"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row>
    <row r="32" spans="1:56"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row>
    <row r="33" spans="1:56"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row>
    <row r="34" spans="1:56"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row>
    <row r="35" spans="1:56"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row>
    <row r="36" spans="1:56"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row>
    <row r="37" spans="1:5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row>
    <row r="38" spans="1:5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row>
    <row r="39" spans="1:5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row>
    <row r="40" spans="1:5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row>
    <row r="41" spans="1:5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row>
    <row r="42" spans="1:5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row>
    <row r="43" spans="1:56"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row>
    <row r="44" spans="1:56"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row>
    <row r="45" spans="1:56"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row>
    <row r="46" spans="1:56"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row>
    <row r="47" spans="1:56"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row>
    <row r="48" spans="1:56"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row>
    <row r="49" spans="1:56"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row>
    <row r="50" spans="1:56"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row>
    <row r="51" spans="1:56"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row>
    <row r="52" spans="1:56"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row>
    <row r="53" spans="1:56"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row>
    <row r="54" spans="1:56"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row>
    <row r="55" spans="1:56"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row>
    <row r="56" spans="1:56"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row>
    <row r="57" spans="1:56"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row>
    <row r="58" spans="1:56"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row>
    <row r="59" spans="1:56"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row>
    <row r="60" spans="1:56"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row>
    <row r="61" spans="1:56"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row>
    <row r="62" spans="1:56"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row>
    <row r="63" spans="1:56"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row>
    <row r="64" spans="1:56"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row>
    <row r="65" spans="1:63"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row>
    <row r="66" spans="1:63"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F66" s="13"/>
    </row>
    <row r="67" spans="1:63"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row>
    <row r="68" spans="1:63"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row>
    <row r="69" spans="1:63"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row>
    <row r="70" spans="1:63" ht="15.75" thickBot="1"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row>
    <row r="71" spans="1:63" x14ac:dyDescent="0.25">
      <c r="A71" s="14"/>
      <c r="B71" s="28" t="s">
        <v>122</v>
      </c>
      <c r="C71" s="29"/>
      <c r="D71" s="29"/>
      <c r="E71" s="29"/>
      <c r="F71" s="30"/>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row>
    <row r="72" spans="1:63" x14ac:dyDescent="0.25">
      <c r="A72" s="14"/>
      <c r="B72" s="16" t="s">
        <v>123</v>
      </c>
      <c r="C72" s="17" t="s">
        <v>124</v>
      </c>
      <c r="D72" s="17">
        <v>2019</v>
      </c>
      <c r="E72" s="17">
        <v>2020</v>
      </c>
      <c r="F72" s="18">
        <v>2021</v>
      </c>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row>
    <row r="73" spans="1:63" x14ac:dyDescent="0.25">
      <c r="A73" s="14"/>
      <c r="B73" s="19" t="str">
        <f>ServiceRatingByDate!A6</f>
        <v>Food and Beverage Production Department</v>
      </c>
      <c r="C73" s="20">
        <f>GETPIVOTDATA("Service Rating",ServiceRatingByDate!$A$3,"Division","Food and Beverage Production Department")</f>
        <v>7</v>
      </c>
      <c r="D73" s="21"/>
      <c r="E73" s="21"/>
      <c r="F73" s="22"/>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row>
    <row r="74" spans="1:63" x14ac:dyDescent="0.25">
      <c r="A74" s="14"/>
      <c r="B74" s="19" t="str">
        <f>ServiceRatingByDate!A7</f>
        <v>Front Office Department</v>
      </c>
      <c r="C74" s="20">
        <f>GETPIVOTDATA("Service Rating",ServiceRatingByDate!$A$3,"Division","Front Office Department")</f>
        <v>6</v>
      </c>
      <c r="D74" s="21"/>
      <c r="E74" s="21"/>
      <c r="F74" s="23"/>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row>
    <row r="75" spans="1:63" x14ac:dyDescent="0.25">
      <c r="A75" s="14"/>
      <c r="B75" s="19" t="str">
        <f>ServiceRatingByDate!A8</f>
        <v>Housekeeping Department</v>
      </c>
      <c r="C75" s="20">
        <f>GETPIVOTDATA("Service Rating",ServiceRatingByDate!$A$3,"Division","Housekeeping Department")</f>
        <v>5</v>
      </c>
      <c r="D75" s="21"/>
      <c r="E75" s="21"/>
      <c r="F75" s="23"/>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3"/>
      <c r="BF75" s="13"/>
    </row>
    <row r="76" spans="1:63" x14ac:dyDescent="0.25">
      <c r="A76" s="14"/>
      <c r="B76" s="19" t="str">
        <f>ServiceRatingByDate!A9</f>
        <v>Information Technology Department</v>
      </c>
      <c r="C76" s="20">
        <f>GETPIVOTDATA("Service Rating",ServiceRatingByDate!$A$3,"Division","Information Technology Department")</f>
        <v>7</v>
      </c>
      <c r="D76" s="21"/>
      <c r="E76" s="21"/>
      <c r="F76" s="22"/>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3"/>
      <c r="BF76" s="13"/>
    </row>
    <row r="77" spans="1:63" x14ac:dyDescent="0.25">
      <c r="A77" s="14"/>
      <c r="B77" s="24" t="str">
        <f>ServiceRatingByDate!A10</f>
        <v>Security Department</v>
      </c>
      <c r="C77" s="25">
        <f>GETPIVOTDATA("Service Rating",ServiceRatingByDate!$A$3,"Division","Security Department")</f>
        <v>7</v>
      </c>
      <c r="D77" s="26"/>
      <c r="E77" s="26"/>
      <c r="F77" s="27"/>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3"/>
      <c r="BF77" s="13"/>
    </row>
    <row r="78" spans="1:63"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F78" s="13"/>
      <c r="BG78" s="13"/>
      <c r="BH78" s="13"/>
      <c r="BI78" s="13"/>
      <c r="BJ78" s="13"/>
      <c r="BK78" s="13"/>
    </row>
    <row r="79" spans="1:63"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F79" s="13"/>
      <c r="BG79" s="13"/>
      <c r="BH79" s="13"/>
      <c r="BI79" s="13"/>
      <c r="BJ79" s="13"/>
      <c r="BK79" s="13"/>
    </row>
    <row r="80" spans="1:63"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F80" s="13"/>
      <c r="BG80" s="13"/>
      <c r="BH80" s="13"/>
      <c r="BI80" s="13"/>
      <c r="BJ80" s="13"/>
      <c r="BK80" s="13"/>
    </row>
    <row r="81" spans="1:58"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3"/>
      <c r="BF81" s="13"/>
    </row>
    <row r="82" spans="1:58"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3"/>
      <c r="BF82" s="13"/>
    </row>
    <row r="83" spans="1:58"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3"/>
      <c r="BF83" s="13"/>
    </row>
    <row r="84" spans="1:58"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3"/>
      <c r="BF84" s="13"/>
    </row>
    <row r="85" spans="1:58"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3"/>
      <c r="BF85" s="13"/>
    </row>
    <row r="86" spans="1:58"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F86" s="13"/>
    </row>
    <row r="87" spans="1:58"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row>
    <row r="88" spans="1:58"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row>
    <row r="89" spans="1:58"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row>
    <row r="90" spans="1:58"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row>
    <row r="91" spans="1:58"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row>
    <row r="92" spans="1:58"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row>
    <row r="93" spans="1:58"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row>
    <row r="94" spans="1:58"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row>
    <row r="95" spans="1:58"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row>
    <row r="96" spans="1:58"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row>
    <row r="97" spans="1:56"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row>
    <row r="98" spans="1:56"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row>
    <row r="99" spans="1:56"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row>
    <row r="100" spans="1:56"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row>
    <row r="101" spans="1:56"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row>
    <row r="102" spans="1:56"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row>
    <row r="103" spans="1:56"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row>
    <row r="104" spans="1:56"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row>
    <row r="105" spans="1:56"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row>
    <row r="106" spans="1:56"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row>
    <row r="107" spans="1:56"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row>
    <row r="108" spans="1:56"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row>
    <row r="109" spans="1:56"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row>
    <row r="110" spans="1:56"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row>
    <row r="111" spans="1:56"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row>
    <row r="112" spans="1:56"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row>
    <row r="113" spans="1:56"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row>
    <row r="114" spans="1:56"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row>
    <row r="115" spans="1:56"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row>
    <row r="116" spans="1:56"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row>
    <row r="117" spans="1:56"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row>
    <row r="118" spans="1:56"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row>
    <row r="119" spans="1:56"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row>
    <row r="120" spans="1:56"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row>
    <row r="121" spans="1:56"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row>
    <row r="122" spans="1:56"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row>
    <row r="123" spans="1:56"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row>
    <row r="124" spans="1:56"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row>
    <row r="125" spans="1:56"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row>
    <row r="126" spans="1:56"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row>
    <row r="127" spans="1:56"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row>
    <row r="128" spans="1:56"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row>
    <row r="129" spans="1:56"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row>
    <row r="130" spans="1:56"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row>
    <row r="131" spans="1:56"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row>
    <row r="132" spans="1:56"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row>
    <row r="133" spans="1:56"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row>
    <row r="134" spans="1:56"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row>
    <row r="135" spans="1:56"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row>
    <row r="136" spans="1:56"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row>
    <row r="137" spans="1:56"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row>
    <row r="138" spans="1:56"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row>
    <row r="139" spans="1:56"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row>
    <row r="140" spans="1:56"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row>
    <row r="141" spans="1:56"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row>
    <row r="142" spans="1:56"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row>
    <row r="143" spans="1:56"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row>
    <row r="144" spans="1:56"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row>
    <row r="145" spans="1:56"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row>
    <row r="146" spans="1:56"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row>
    <row r="147" spans="1:56"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row>
    <row r="148" spans="1:56"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row>
    <row r="149" spans="1:56"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row>
    <row r="150" spans="1:56"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row>
    <row r="151" spans="1:56"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row>
    <row r="152" spans="1:56"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row>
    <row r="153" spans="1:56"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row>
    <row r="154" spans="1:56"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row>
    <row r="155" spans="1:56"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row>
    <row r="156" spans="1:56"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row>
    <row r="157" spans="1:56"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row>
    <row r="158" spans="1:56"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row>
    <row r="159" spans="1:56"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row>
    <row r="160" spans="1:56"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row>
    <row r="161" spans="1:56"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row>
    <row r="162" spans="1:56"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row>
    <row r="163" spans="1:56"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row>
    <row r="164" spans="1:56"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row>
    <row r="165" spans="1:56"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row>
    <row r="166" spans="1:56"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row>
    <row r="167" spans="1:56"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row>
    <row r="168" spans="1:56"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row>
    <row r="169" spans="1:56"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row>
    <row r="170" spans="1:56"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row>
    <row r="171" spans="1:56"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row>
    <row r="172" spans="1:56"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row>
    <row r="173" spans="1:56"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row>
    <row r="174" spans="1:56"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row>
    <row r="175" spans="1:56"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row>
    <row r="176" spans="1:56"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row>
    <row r="177" spans="1:56"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row>
    <row r="178" spans="1:56"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row>
    <row r="179" spans="1:56"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row>
    <row r="180" spans="1:56"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row>
    <row r="181" spans="1:56"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row>
    <row r="182" spans="1:56" x14ac:dyDescent="0.25">
      <c r="A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row>
    <row r="183" spans="1:56" x14ac:dyDescent="0.25">
      <c r="A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row>
    <row r="184" spans="1:56" x14ac:dyDescent="0.25">
      <c r="A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row>
  </sheetData>
  <conditionalFormatting sqref="C73">
    <cfRule type="dataBar" priority="12">
      <dataBar>
        <cfvo type="min"/>
        <cfvo type="max"/>
        <color rgb="FF638EC6"/>
      </dataBar>
      <extLst>
        <ext xmlns:x14="http://schemas.microsoft.com/office/spreadsheetml/2009/9/main" uri="{B025F937-C7B1-47D3-B67F-A62EFF666E3E}">
          <x14:id>{6ACFFD68-E625-4940-8CFF-2DAF686ACBF0}</x14:id>
        </ext>
      </extLst>
    </cfRule>
  </conditionalFormatting>
  <conditionalFormatting sqref="C74">
    <cfRule type="dataBar" priority="11">
      <dataBar>
        <cfvo type="min"/>
        <cfvo type="max"/>
        <color rgb="FF638EC6"/>
      </dataBar>
      <extLst>
        <ext xmlns:x14="http://schemas.microsoft.com/office/spreadsheetml/2009/9/main" uri="{B025F937-C7B1-47D3-B67F-A62EFF666E3E}">
          <x14:id>{9F142ECD-2881-4B5A-8C84-88BCEA5CFB70}</x14:id>
        </ext>
      </extLst>
    </cfRule>
  </conditionalFormatting>
  <conditionalFormatting sqref="C75">
    <cfRule type="dataBar" priority="10">
      <dataBar>
        <cfvo type="min"/>
        <cfvo type="max"/>
        <color rgb="FF638EC6"/>
      </dataBar>
      <extLst>
        <ext xmlns:x14="http://schemas.microsoft.com/office/spreadsheetml/2009/9/main" uri="{B025F937-C7B1-47D3-B67F-A62EFF666E3E}">
          <x14:id>{92F93EEB-C900-4329-A13A-3088631406A7}</x14:id>
        </ext>
      </extLst>
    </cfRule>
  </conditionalFormatting>
  <conditionalFormatting sqref="C76">
    <cfRule type="dataBar" priority="9">
      <dataBar>
        <cfvo type="min"/>
        <cfvo type="max"/>
        <color rgb="FF638EC6"/>
      </dataBar>
      <extLst>
        <ext xmlns:x14="http://schemas.microsoft.com/office/spreadsheetml/2009/9/main" uri="{B025F937-C7B1-47D3-B67F-A62EFF666E3E}">
          <x14:id>{F944E870-752A-4CFC-8E2D-AD526B471BAF}</x14:id>
        </ext>
      </extLst>
    </cfRule>
  </conditionalFormatting>
  <conditionalFormatting sqref="C77">
    <cfRule type="dataBar" priority="8">
      <dataBar>
        <cfvo type="min"/>
        <cfvo type="max"/>
        <color rgb="FF638EC6"/>
      </dataBar>
      <extLst>
        <ext xmlns:x14="http://schemas.microsoft.com/office/spreadsheetml/2009/9/main" uri="{B025F937-C7B1-47D3-B67F-A62EFF666E3E}">
          <x14:id>{FE361AD4-BE7B-41B0-B6F8-91EEEE5F0D9E}</x14:id>
        </ext>
      </extLst>
    </cfRule>
  </conditionalFormatting>
  <conditionalFormatting sqref="C73:C77">
    <cfRule type="dataBar" priority="7">
      <dataBar>
        <cfvo type="min"/>
        <cfvo type="max"/>
        <color rgb="FF638EC6"/>
      </dataBar>
      <extLst>
        <ext xmlns:x14="http://schemas.microsoft.com/office/spreadsheetml/2009/9/main" uri="{B025F937-C7B1-47D3-B67F-A62EFF666E3E}">
          <x14:id>{6F10C94B-EB91-4280-B0E6-854E79070CB6}</x14:id>
        </ext>
      </extLst>
    </cfRule>
  </conditionalFormatting>
  <pageMargins left="0.7" right="0.7" top="0.75" bottom="0.75" header="0.3" footer="0.3"/>
  <pageSetup orientation="portrait" horizontalDpi="300" verticalDpi="300" r:id="rId1"/>
  <drawing r:id="rId2"/>
  <extLst>
    <ext xmlns:x14="http://schemas.microsoft.com/office/spreadsheetml/2009/9/main" uri="{78C0D931-6437-407d-A8EE-F0AAD7539E65}">
      <x14:conditionalFormattings>
        <x14:conditionalFormatting xmlns:xm="http://schemas.microsoft.com/office/excel/2006/main">
          <x14:cfRule type="dataBar" id="{6ACFFD68-E625-4940-8CFF-2DAF686ACBF0}">
            <x14:dataBar minLength="0" maxLength="100" border="1" negativeBarBorderColorSameAsPositive="0">
              <x14:cfvo type="autoMin"/>
              <x14:cfvo type="autoMax"/>
              <x14:borderColor rgb="FF638EC6"/>
              <x14:negativeFillColor rgb="FFFF0000"/>
              <x14:negativeBorderColor rgb="FFFF0000"/>
              <x14:axisColor rgb="FF000000"/>
            </x14:dataBar>
          </x14:cfRule>
          <xm:sqref>C73</xm:sqref>
        </x14:conditionalFormatting>
        <x14:conditionalFormatting xmlns:xm="http://schemas.microsoft.com/office/excel/2006/main">
          <x14:cfRule type="dataBar" id="{9F142ECD-2881-4B5A-8C84-88BCEA5CFB70}">
            <x14:dataBar minLength="0" maxLength="100" border="1" negativeBarBorderColorSameAsPositive="0">
              <x14:cfvo type="autoMin"/>
              <x14:cfvo type="autoMax"/>
              <x14:borderColor rgb="FF638EC6"/>
              <x14:negativeFillColor rgb="FFFF0000"/>
              <x14:negativeBorderColor rgb="FFFF0000"/>
              <x14:axisColor rgb="FF000000"/>
            </x14:dataBar>
          </x14:cfRule>
          <xm:sqref>C74</xm:sqref>
        </x14:conditionalFormatting>
        <x14:conditionalFormatting xmlns:xm="http://schemas.microsoft.com/office/excel/2006/main">
          <x14:cfRule type="dataBar" id="{92F93EEB-C900-4329-A13A-3088631406A7}">
            <x14:dataBar minLength="0" maxLength="100" border="1" negativeBarBorderColorSameAsPositive="0">
              <x14:cfvo type="autoMin"/>
              <x14:cfvo type="autoMax"/>
              <x14:borderColor rgb="FF638EC6"/>
              <x14:negativeFillColor rgb="FFFF0000"/>
              <x14:negativeBorderColor rgb="FFFF0000"/>
              <x14:axisColor rgb="FF000000"/>
            </x14:dataBar>
          </x14:cfRule>
          <xm:sqref>C75</xm:sqref>
        </x14:conditionalFormatting>
        <x14:conditionalFormatting xmlns:xm="http://schemas.microsoft.com/office/excel/2006/main">
          <x14:cfRule type="dataBar" id="{F944E870-752A-4CFC-8E2D-AD526B471BAF}">
            <x14:dataBar minLength="0" maxLength="100" border="1" negativeBarBorderColorSameAsPositive="0">
              <x14:cfvo type="autoMin"/>
              <x14:cfvo type="autoMax"/>
              <x14:borderColor rgb="FF638EC6"/>
              <x14:negativeFillColor rgb="FFFF0000"/>
              <x14:negativeBorderColor rgb="FFFF0000"/>
              <x14:axisColor rgb="FF000000"/>
            </x14:dataBar>
          </x14:cfRule>
          <xm:sqref>C76</xm:sqref>
        </x14:conditionalFormatting>
        <x14:conditionalFormatting xmlns:xm="http://schemas.microsoft.com/office/excel/2006/main">
          <x14:cfRule type="dataBar" id="{FE361AD4-BE7B-41B0-B6F8-91EEEE5F0D9E}">
            <x14:dataBar minLength="0" maxLength="100" border="1" negativeBarBorderColorSameAsPositive="0">
              <x14:cfvo type="autoMin"/>
              <x14:cfvo type="autoMax"/>
              <x14:borderColor rgb="FF638EC6"/>
              <x14:negativeFillColor rgb="FFFF0000"/>
              <x14:negativeBorderColor rgb="FFFF0000"/>
              <x14:axisColor rgb="FF000000"/>
            </x14:dataBar>
          </x14:cfRule>
          <xm:sqref>C77</xm:sqref>
        </x14:conditionalFormatting>
        <x14:conditionalFormatting xmlns:xm="http://schemas.microsoft.com/office/excel/2006/main">
          <x14:cfRule type="dataBar" id="{6F10C94B-EB91-4280-B0E6-854E79070CB6}">
            <x14:dataBar minLength="0" maxLength="100" border="1" negativeBarBorderColorSameAsPositive="0">
              <x14:cfvo type="autoMin"/>
              <x14:cfvo type="autoMax"/>
              <x14:borderColor rgb="FF638EC6"/>
              <x14:negativeFillColor rgb="FFFF0000"/>
              <x14:negativeBorderColor rgb="FFFF0000"/>
              <x14:axisColor rgb="FF000000"/>
            </x14:dataBar>
          </x14:cfRule>
          <xm:sqref>C73:C77</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00000000-0003-0000-0000-000000000000}">
          <x14:colorSeries rgb="FF376092"/>
          <x14:colorNegative rgb="FFD00000"/>
          <x14:colorAxis rgb="FF000000"/>
          <x14:colorMarkers rgb="FFD00000"/>
          <x14:colorFirst rgb="FFD00000"/>
          <x14:colorLast rgb="FFD00000"/>
          <x14:colorHigh rgb="FFD00000"/>
          <x14:colorLow rgb="FFD00000"/>
          <x14:sparklines>
            <x14:sparkline>
              <xm:f>ServiceRatingByDate!B10:L10</xm:f>
              <xm:sqref>D77</xm:sqref>
            </x14:sparkline>
          </x14:sparklines>
        </x14:sparklineGroup>
        <x14:sparklineGroup type="column" displayEmptyCellsAs="gap" xr2:uid="{00000000-0003-0000-0000-000001000000}">
          <x14:colorSeries rgb="FF376092"/>
          <x14:colorNegative rgb="FFD00000"/>
          <x14:colorAxis rgb="FF000000"/>
          <x14:colorMarkers rgb="FFD00000"/>
          <x14:colorFirst rgb="FFD00000"/>
          <x14:colorLast rgb="FFD00000"/>
          <x14:colorHigh rgb="FFD00000"/>
          <x14:colorLow rgb="FFD00000"/>
          <x14:sparklines>
            <x14:sparkline>
              <xm:f>ServiceRatingByDate!N10:Y10</xm:f>
              <xm:sqref>E77</xm:sqref>
            </x14:sparkline>
          </x14:sparklines>
        </x14:sparklineGroup>
        <x14:sparklineGroup type="column" displayEmptyCellsAs="gap" xr2:uid="{00000000-0003-0000-0000-000002000000}">
          <x14:colorSeries rgb="FF376092"/>
          <x14:colorNegative rgb="FFD00000"/>
          <x14:colorAxis rgb="FF000000"/>
          <x14:colorMarkers rgb="FFD00000"/>
          <x14:colorFirst rgb="FFD00000"/>
          <x14:colorLast rgb="FFD00000"/>
          <x14:colorHigh rgb="FFD00000"/>
          <x14:colorLow rgb="FFD00000"/>
          <x14:sparklines>
            <x14:sparkline>
              <xm:f>ServiceRatingByDate!AA10:AI10</xm:f>
              <xm:sqref>F77</xm:sqref>
            </x14:sparkline>
          </x14:sparklines>
        </x14:sparklineGroup>
        <x14:sparklineGroup type="column" displayEmptyCellsAs="gap" xr2:uid="{00000000-0003-0000-0000-000003000000}">
          <x14:colorSeries rgb="FF376092"/>
          <x14:colorNegative rgb="FFD00000"/>
          <x14:colorAxis rgb="FF000000"/>
          <x14:colorMarkers rgb="FFD00000"/>
          <x14:colorFirst rgb="FFD00000"/>
          <x14:colorLast rgb="FFD00000"/>
          <x14:colorHigh rgb="FFD00000"/>
          <x14:colorLow rgb="FFD00000"/>
          <x14:sparklines>
            <x14:sparkline>
              <xm:f>ServiceRatingByDate!AA9:AI9</xm:f>
              <xm:sqref>F76</xm:sqref>
            </x14:sparkline>
          </x14:sparklines>
        </x14:sparklineGroup>
        <x14:sparklineGroup type="column" displayEmptyCellsAs="gap" xr2:uid="{00000000-0003-0000-0000-000004000000}">
          <x14:colorSeries rgb="FF376092"/>
          <x14:colorNegative rgb="FFD00000"/>
          <x14:colorAxis rgb="FF000000"/>
          <x14:colorMarkers rgb="FFD00000"/>
          <x14:colorFirst rgb="FFD00000"/>
          <x14:colorLast rgb="FFD00000"/>
          <x14:colorHigh rgb="FFD00000"/>
          <x14:colorLow rgb="FFD00000"/>
          <x14:sparklines>
            <x14:sparkline>
              <xm:f>ServiceRatingByDate!AA8:AI8</xm:f>
              <xm:sqref>F75</xm:sqref>
            </x14:sparkline>
          </x14:sparklines>
        </x14:sparklineGroup>
        <x14:sparklineGroup type="column" displayEmptyCellsAs="gap" xr2:uid="{00000000-0003-0000-0000-000005000000}">
          <x14:colorSeries rgb="FF376092"/>
          <x14:colorNegative rgb="FFD00000"/>
          <x14:colorAxis rgb="FF000000"/>
          <x14:colorMarkers rgb="FFD00000"/>
          <x14:colorFirst rgb="FFD00000"/>
          <x14:colorLast rgb="FFD00000"/>
          <x14:colorHigh rgb="FFD00000"/>
          <x14:colorLow rgb="FFD00000"/>
          <x14:sparklines>
            <x14:sparkline>
              <xm:f>ServiceRatingByDate!AA7:AI7</xm:f>
              <xm:sqref>F74</xm:sqref>
            </x14:sparkline>
          </x14:sparklines>
        </x14:sparklineGroup>
        <x14:sparklineGroup type="column" displayEmptyCellsAs="gap" xr2:uid="{00000000-0003-0000-0000-000006000000}">
          <x14:colorSeries rgb="FF376092"/>
          <x14:colorNegative rgb="FFD00000"/>
          <x14:colorAxis rgb="FF000000"/>
          <x14:colorMarkers rgb="FFD00000"/>
          <x14:colorFirst rgb="FFD00000"/>
          <x14:colorLast rgb="FFD00000"/>
          <x14:colorHigh rgb="FFD00000"/>
          <x14:colorLow rgb="FFD00000"/>
          <x14:sparklines>
            <x14:sparkline>
              <xm:f>ServiceRatingByDate!AA6:AI6</xm:f>
              <xm:sqref>F73</xm:sqref>
            </x14:sparkline>
          </x14:sparklines>
        </x14:sparklineGroup>
        <x14:sparklineGroup type="column" displayEmptyCellsAs="gap" xr2:uid="{00000000-0003-0000-0000-000007000000}">
          <x14:colorSeries rgb="FF376092"/>
          <x14:colorNegative rgb="FFD00000"/>
          <x14:colorAxis rgb="FF000000"/>
          <x14:colorMarkers rgb="FFD00000"/>
          <x14:colorFirst rgb="FFD00000"/>
          <x14:colorLast rgb="FFD00000"/>
          <x14:colorHigh rgb="FFD00000"/>
          <x14:colorLow rgb="FFD00000"/>
          <x14:sparklines>
            <x14:sparkline>
              <xm:f>ServiceRatingByDate!N9:Y9</xm:f>
              <xm:sqref>E76</xm:sqref>
            </x14:sparkline>
          </x14:sparklines>
        </x14:sparklineGroup>
        <x14:sparklineGroup type="column" displayEmptyCellsAs="gap" xr2:uid="{00000000-0003-0000-0000-000008000000}">
          <x14:colorSeries rgb="FF376092"/>
          <x14:colorNegative rgb="FFD00000"/>
          <x14:colorAxis rgb="FF000000"/>
          <x14:colorMarkers rgb="FFD00000"/>
          <x14:colorFirst rgb="FFD00000"/>
          <x14:colorLast rgb="FFD00000"/>
          <x14:colorHigh rgb="FFD00000"/>
          <x14:colorLow rgb="FFD00000"/>
          <x14:sparklines>
            <x14:sparkline>
              <xm:f>ServiceRatingByDate!N8:Y8</xm:f>
              <xm:sqref>E75</xm:sqref>
            </x14:sparkline>
          </x14:sparklines>
        </x14:sparklineGroup>
        <x14:sparklineGroup type="column" displayEmptyCellsAs="gap" xr2:uid="{00000000-0003-0000-0000-000009000000}">
          <x14:colorSeries rgb="FF376092"/>
          <x14:colorNegative rgb="FFD00000"/>
          <x14:colorAxis rgb="FF000000"/>
          <x14:colorMarkers rgb="FFD00000"/>
          <x14:colorFirst rgb="FFD00000"/>
          <x14:colorLast rgb="FFD00000"/>
          <x14:colorHigh rgb="FFD00000"/>
          <x14:colorLow rgb="FFD00000"/>
          <x14:sparklines>
            <x14:sparkline>
              <xm:f>ServiceRatingByDate!N7:Y7</xm:f>
              <xm:sqref>E74</xm:sqref>
            </x14:sparkline>
          </x14:sparklines>
        </x14:sparklineGroup>
        <x14:sparklineGroup type="column" displayEmptyCellsAs="gap" xr2:uid="{00000000-0003-0000-0000-00000A000000}">
          <x14:colorSeries rgb="FF376092"/>
          <x14:colorNegative rgb="FFD00000"/>
          <x14:colorAxis rgb="FF000000"/>
          <x14:colorMarkers rgb="FFD00000"/>
          <x14:colorFirst rgb="FFD00000"/>
          <x14:colorLast rgb="FFD00000"/>
          <x14:colorHigh rgb="FFD00000"/>
          <x14:colorLow rgb="FFD00000"/>
          <x14:sparklines>
            <x14:sparkline>
              <xm:f>ServiceRatingByDate!N6:Y6</xm:f>
              <xm:sqref>E73</xm:sqref>
            </x14:sparkline>
          </x14:sparklines>
        </x14:sparklineGroup>
        <x14:sparklineGroup type="column" displayEmptyCellsAs="gap" xr2:uid="{00000000-0003-0000-0000-00000B000000}">
          <x14:colorSeries rgb="FF000000"/>
          <x14:colorNegative rgb="FF0070C0"/>
          <x14:colorAxis rgb="FF000000"/>
          <x14:colorMarkers rgb="FF0070C0"/>
          <x14:colorFirst rgb="FF0070C0"/>
          <x14:colorLast rgb="FF0070C0"/>
          <x14:colorHigh rgb="FF0070C0"/>
          <x14:colorLow rgb="FF0070C0"/>
          <x14:sparklines>
            <x14:sparkline>
              <xm:f>ServiceRatingByDate!B9:L9</xm:f>
              <xm:sqref>D76</xm:sqref>
            </x14:sparkline>
          </x14:sparklines>
        </x14:sparklineGroup>
        <x14:sparklineGroup type="column" displayEmptyCellsAs="gap" xr2:uid="{00000000-0003-0000-0000-00000C000000}">
          <x14:colorSeries rgb="FF376092"/>
          <x14:colorNegative rgb="FFD00000"/>
          <x14:colorAxis rgb="FF000000"/>
          <x14:colorMarkers rgb="FFD00000"/>
          <x14:colorFirst rgb="FFD00000"/>
          <x14:colorLast rgb="FFD00000"/>
          <x14:colorHigh rgb="FFD00000"/>
          <x14:colorLow rgb="FFD00000"/>
          <x14:sparklines>
            <x14:sparkline>
              <xm:f>ServiceRatingByDate!C8:L8</xm:f>
              <xm:sqref>D75</xm:sqref>
            </x14:sparkline>
          </x14:sparklines>
        </x14:sparklineGroup>
        <x14:sparklineGroup type="column" displayEmptyCellsAs="gap" xr2:uid="{00000000-0003-0000-0000-00000D000000}">
          <x14:colorSeries rgb="FF376092"/>
          <x14:colorNegative rgb="FFD00000"/>
          <x14:colorAxis rgb="FF000000"/>
          <x14:colorMarkers rgb="FFD00000"/>
          <x14:colorFirst rgb="FFD00000"/>
          <x14:colorLast rgb="FFD00000"/>
          <x14:colorHigh rgb="FFD00000"/>
          <x14:colorLow rgb="FFD00000"/>
          <x14:sparklines>
            <x14:sparkline>
              <xm:f>ServiceRatingByDate!B7:L7</xm:f>
              <xm:sqref>D74</xm:sqref>
            </x14:sparkline>
          </x14:sparklines>
        </x14:sparklineGroup>
        <x14:sparklineGroup type="column" displayEmptyCellsAs="gap" xr2:uid="{00000000-0003-0000-0000-00000E000000}">
          <x14:colorSeries rgb="FF376092"/>
          <x14:colorNegative rgb="FFD00000"/>
          <x14:colorAxis rgb="FF000000"/>
          <x14:colorMarkers rgb="FFD00000"/>
          <x14:colorFirst rgb="FFD00000"/>
          <x14:colorLast rgb="FFD00000"/>
          <x14:colorHigh rgb="FFD00000"/>
          <x14:colorLow rgb="FFD00000"/>
          <x14:sparklines>
            <x14:sparkline>
              <xm:f>ServiceRatingByDate!B6:L6</xm:f>
              <xm:sqref>D73</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11"/>
  <sheetViews>
    <sheetView workbookViewId="0">
      <selection activeCell="F38" sqref="F38"/>
    </sheetView>
  </sheetViews>
  <sheetFormatPr defaultRowHeight="15" x14ac:dyDescent="0.25"/>
  <cols>
    <col min="1" max="1" width="40.140625" bestFit="1" customWidth="1"/>
    <col min="2" max="2" width="7.42578125" bestFit="1" customWidth="1"/>
    <col min="3" max="3" width="4" bestFit="1" customWidth="1"/>
    <col min="4" max="4" width="4.5703125" bestFit="1" customWidth="1"/>
    <col min="5" max="5" width="9.85546875" bestFit="1" customWidth="1"/>
    <col min="6" max="9" width="11.28515625" bestFit="1" customWidth="1"/>
    <col min="10" max="10" width="4.5703125" bestFit="1" customWidth="1"/>
    <col min="11" max="11" width="4.28515625" bestFit="1" customWidth="1"/>
    <col min="12" max="12" width="9.85546875" bestFit="1" customWidth="1"/>
    <col min="13" max="14" width="11.28515625" bestFit="1" customWidth="1"/>
    <col min="15" max="15" width="4.28515625" bestFit="1" customWidth="1"/>
    <col min="16" max="16" width="4.5703125" bestFit="1" customWidth="1"/>
    <col min="17" max="17" width="4.140625" bestFit="1" customWidth="1"/>
    <col min="18" max="18" width="4.85546875" bestFit="1" customWidth="1"/>
    <col min="19" max="19" width="4" bestFit="1" customWidth="1"/>
    <col min="20" max="20" width="3.42578125" bestFit="1" customWidth="1"/>
    <col min="21" max="21" width="4.42578125" bestFit="1" customWidth="1"/>
    <col min="22" max="22" width="4.28515625" bestFit="1" customWidth="1"/>
    <col min="23" max="23" width="4" bestFit="1" customWidth="1"/>
    <col min="24" max="24" width="4.5703125" bestFit="1" customWidth="1"/>
    <col min="25" max="25" width="4.28515625" bestFit="1" customWidth="1"/>
    <col min="26" max="26" width="9.85546875" bestFit="1" customWidth="1"/>
    <col min="27" max="27" width="11.28515625" bestFit="1" customWidth="1"/>
    <col min="28" max="28" width="4.140625" bestFit="1" customWidth="1"/>
    <col min="29" max="29" width="4.85546875" bestFit="1" customWidth="1"/>
    <col min="30" max="30" width="4" bestFit="1" customWidth="1"/>
    <col min="31" max="31" width="3.42578125" bestFit="1" customWidth="1"/>
    <col min="32" max="32" width="4.42578125" bestFit="1" customWidth="1"/>
    <col min="33" max="33" width="4.28515625" bestFit="1" customWidth="1"/>
    <col min="34" max="34" width="9.85546875" bestFit="1" customWidth="1"/>
    <col min="35" max="37" width="11.28515625" bestFit="1" customWidth="1"/>
    <col min="38" max="40" width="6.7109375" bestFit="1" customWidth="1"/>
    <col min="41" max="41" width="9.7109375" bestFit="1" customWidth="1"/>
    <col min="42" max="44" width="6.7109375" bestFit="1" customWidth="1"/>
    <col min="45" max="45" width="9.7109375" bestFit="1" customWidth="1"/>
    <col min="46" max="46" width="9.85546875" bestFit="1" customWidth="1"/>
    <col min="47" max="47" width="11.28515625" bestFit="1" customWidth="1"/>
    <col min="48" max="89" width="16.28515625" bestFit="1" customWidth="1"/>
    <col min="90" max="90" width="11.28515625" bestFit="1" customWidth="1"/>
  </cols>
  <sheetData>
    <row r="3" spans="1:6" x14ac:dyDescent="0.25">
      <c r="A3" s="8" t="s">
        <v>0</v>
      </c>
      <c r="B3" s="8" t="s">
        <v>1</v>
      </c>
    </row>
    <row r="4" spans="1:6" x14ac:dyDescent="0.25">
      <c r="B4" t="s">
        <v>125</v>
      </c>
      <c r="E4" t="s">
        <v>126</v>
      </c>
      <c r="F4" t="s">
        <v>2</v>
      </c>
    </row>
    <row r="5" spans="1:6" x14ac:dyDescent="0.25">
      <c r="A5" s="8" t="s">
        <v>3</v>
      </c>
      <c r="B5" s="9" t="s">
        <v>4</v>
      </c>
      <c r="C5" s="9" t="s">
        <v>127</v>
      </c>
      <c r="D5" s="9" t="s">
        <v>128</v>
      </c>
    </row>
    <row r="6" spans="1:6" x14ac:dyDescent="0.25">
      <c r="A6" s="10" t="s">
        <v>5</v>
      </c>
      <c r="B6" s="15"/>
      <c r="C6" s="15">
        <v>7</v>
      </c>
      <c r="D6" s="15"/>
      <c r="E6" s="15">
        <v>7</v>
      </c>
      <c r="F6" s="15">
        <v>7</v>
      </c>
    </row>
    <row r="7" spans="1:6" x14ac:dyDescent="0.25">
      <c r="A7" s="10" t="s">
        <v>6</v>
      </c>
      <c r="B7" s="15"/>
      <c r="C7" s="15"/>
      <c r="D7" s="15">
        <v>6</v>
      </c>
      <c r="E7" s="15">
        <v>6</v>
      </c>
      <c r="F7" s="15">
        <v>6</v>
      </c>
    </row>
    <row r="8" spans="1:6" x14ac:dyDescent="0.25">
      <c r="A8" s="10" t="s">
        <v>7</v>
      </c>
      <c r="B8" s="15">
        <v>5</v>
      </c>
      <c r="C8" s="15"/>
      <c r="D8" s="15"/>
      <c r="E8" s="15">
        <v>5</v>
      </c>
      <c r="F8" s="15">
        <v>5</v>
      </c>
    </row>
    <row r="9" spans="1:6" x14ac:dyDescent="0.25">
      <c r="A9" s="10" t="s">
        <v>8</v>
      </c>
      <c r="B9" s="15"/>
      <c r="C9" s="15">
        <v>7</v>
      </c>
      <c r="D9" s="15"/>
      <c r="E9" s="15">
        <v>7</v>
      </c>
      <c r="F9" s="15">
        <v>7</v>
      </c>
    </row>
    <row r="10" spans="1:6" x14ac:dyDescent="0.25">
      <c r="A10" s="10" t="s">
        <v>9</v>
      </c>
      <c r="B10" s="15"/>
      <c r="C10" s="15">
        <v>7</v>
      </c>
      <c r="D10" s="15"/>
      <c r="E10" s="15">
        <v>7</v>
      </c>
      <c r="F10" s="15">
        <v>7</v>
      </c>
    </row>
    <row r="11" spans="1:6" x14ac:dyDescent="0.25">
      <c r="A11" s="10" t="s">
        <v>2</v>
      </c>
      <c r="B11" s="15">
        <v>5</v>
      </c>
      <c r="C11" s="15">
        <v>21</v>
      </c>
      <c r="D11" s="15">
        <v>6</v>
      </c>
      <c r="E11" s="15">
        <v>32</v>
      </c>
      <c r="F11" s="15">
        <v>32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63"/>
  <sheetViews>
    <sheetView zoomScale="60" zoomScaleNormal="60" workbookViewId="0">
      <selection activeCell="B8" sqref="B8:C8"/>
    </sheetView>
  </sheetViews>
  <sheetFormatPr defaultRowHeight="15" x14ac:dyDescent="0.25"/>
  <cols>
    <col min="1" max="1" width="53" customWidth="1"/>
    <col min="2" max="2" width="24" customWidth="1"/>
    <col min="3" max="3" width="8.42578125" bestFit="1" customWidth="1"/>
    <col min="4" max="4" width="16.5703125" customWidth="1"/>
  </cols>
  <sheetData>
    <row r="3" spans="1:5" x14ac:dyDescent="0.25">
      <c r="A3" s="8" t="s">
        <v>10</v>
      </c>
      <c r="B3" s="12" t="s">
        <v>11</v>
      </c>
      <c r="C3" s="10"/>
      <c r="D3" s="10"/>
      <c r="E3" s="10"/>
    </row>
    <row r="4" spans="1:5" x14ac:dyDescent="0.25">
      <c r="A4" s="8" t="s">
        <v>3</v>
      </c>
      <c r="B4" s="10" t="s">
        <v>12</v>
      </c>
      <c r="C4" s="10" t="s">
        <v>13</v>
      </c>
      <c r="D4" s="10" t="s">
        <v>2</v>
      </c>
      <c r="E4" s="10"/>
    </row>
    <row r="5" spans="1:5" x14ac:dyDescent="0.25">
      <c r="A5" s="10" t="s">
        <v>25</v>
      </c>
      <c r="B5" s="31"/>
      <c r="C5" s="31">
        <v>8</v>
      </c>
      <c r="D5" s="31">
        <v>8</v>
      </c>
      <c r="E5" s="11"/>
    </row>
    <row r="6" spans="1:5" x14ac:dyDescent="0.25">
      <c r="A6" s="10" t="s">
        <v>27</v>
      </c>
      <c r="B6" s="31">
        <v>8</v>
      </c>
      <c r="C6" s="31"/>
      <c r="D6" s="31">
        <v>8</v>
      </c>
      <c r="E6" s="11"/>
    </row>
    <row r="7" spans="1:5" x14ac:dyDescent="0.25">
      <c r="A7" s="10" t="s">
        <v>30</v>
      </c>
      <c r="B7" s="31">
        <v>8</v>
      </c>
      <c r="C7" s="31"/>
      <c r="D7" s="31">
        <v>8</v>
      </c>
      <c r="E7" s="11"/>
    </row>
    <row r="8" spans="1:5" x14ac:dyDescent="0.25">
      <c r="A8" s="10" t="s">
        <v>43</v>
      </c>
      <c r="B8" s="31">
        <v>8</v>
      </c>
      <c r="C8" s="31"/>
      <c r="D8" s="31">
        <v>8</v>
      </c>
      <c r="E8" s="11"/>
    </row>
    <row r="9" spans="1:5" x14ac:dyDescent="0.25">
      <c r="A9" s="10" t="s">
        <v>53</v>
      </c>
      <c r="B9" s="31">
        <v>8</v>
      </c>
      <c r="C9" s="31"/>
      <c r="D9" s="31">
        <v>8</v>
      </c>
      <c r="E9" s="11"/>
    </row>
    <row r="10" spans="1:5" x14ac:dyDescent="0.25">
      <c r="A10" s="10" t="s">
        <v>2</v>
      </c>
      <c r="B10" s="31">
        <v>32</v>
      </c>
      <c r="C10" s="31">
        <v>8</v>
      </c>
      <c r="D10" s="31">
        <v>40</v>
      </c>
      <c r="E10" s="11"/>
    </row>
    <row r="11" spans="1:5" x14ac:dyDescent="0.25">
      <c r="E11" s="11"/>
    </row>
    <row r="12" spans="1:5" x14ac:dyDescent="0.25">
      <c r="E12" s="11"/>
    </row>
    <row r="13" spans="1:5" x14ac:dyDescent="0.25">
      <c r="E13" s="11"/>
    </row>
    <row r="14" spans="1:5" x14ac:dyDescent="0.25">
      <c r="E14" s="11"/>
    </row>
    <row r="15" spans="1:5" x14ac:dyDescent="0.25">
      <c r="E15" s="11"/>
    </row>
    <row r="16" spans="1:5" x14ac:dyDescent="0.25">
      <c r="E16" s="11"/>
    </row>
    <row r="17" spans="5:5" x14ac:dyDescent="0.25">
      <c r="E17" s="11"/>
    </row>
    <row r="18" spans="5:5" x14ac:dyDescent="0.25">
      <c r="E18" s="11"/>
    </row>
    <row r="19" spans="5:5" x14ac:dyDescent="0.25">
      <c r="E19" s="11"/>
    </row>
    <row r="20" spans="5:5" x14ac:dyDescent="0.25">
      <c r="E20" s="11"/>
    </row>
    <row r="21" spans="5:5" x14ac:dyDescent="0.25">
      <c r="E21" s="11"/>
    </row>
    <row r="22" spans="5:5" x14ac:dyDescent="0.25">
      <c r="E22" s="11"/>
    </row>
    <row r="23" spans="5:5" x14ac:dyDescent="0.25">
      <c r="E23" s="11"/>
    </row>
    <row r="24" spans="5:5" x14ac:dyDescent="0.25">
      <c r="E24" s="11"/>
    </row>
    <row r="25" spans="5:5" x14ac:dyDescent="0.25">
      <c r="E25" s="11"/>
    </row>
    <row r="26" spans="5:5" x14ac:dyDescent="0.25">
      <c r="E26" s="11"/>
    </row>
    <row r="27" spans="5:5" x14ac:dyDescent="0.25">
      <c r="E27" s="11"/>
    </row>
    <row r="28" spans="5:5" x14ac:dyDescent="0.25">
      <c r="E28" s="11"/>
    </row>
    <row r="29" spans="5:5" x14ac:dyDescent="0.25">
      <c r="E29" s="11"/>
    </row>
    <row r="30" spans="5:5" x14ac:dyDescent="0.25">
      <c r="E30" s="11"/>
    </row>
    <row r="31" spans="5:5" x14ac:dyDescent="0.25">
      <c r="E31" s="11"/>
    </row>
    <row r="32" spans="5:5" x14ac:dyDescent="0.25">
      <c r="E32" s="11"/>
    </row>
    <row r="33" spans="5:5" x14ac:dyDescent="0.25">
      <c r="E33" s="11"/>
    </row>
    <row r="34" spans="5:5" x14ac:dyDescent="0.25">
      <c r="E34" s="11"/>
    </row>
    <row r="35" spans="5:5" x14ac:dyDescent="0.25">
      <c r="E35" s="11"/>
    </row>
    <row r="36" spans="5:5" x14ac:dyDescent="0.25">
      <c r="E36" s="11"/>
    </row>
    <row r="37" spans="5:5" x14ac:dyDescent="0.25">
      <c r="E37" s="11"/>
    </row>
    <row r="38" spans="5:5" x14ac:dyDescent="0.25">
      <c r="E38" s="11"/>
    </row>
    <row r="39" spans="5:5" x14ac:dyDescent="0.25">
      <c r="E39" s="11"/>
    </row>
    <row r="40" spans="5:5" x14ac:dyDescent="0.25">
      <c r="E40" s="11"/>
    </row>
    <row r="41" spans="5:5" x14ac:dyDescent="0.25">
      <c r="E41" s="11"/>
    </row>
    <row r="42" spans="5:5" x14ac:dyDescent="0.25">
      <c r="E42" s="11"/>
    </row>
    <row r="43" spans="5:5" x14ac:dyDescent="0.25">
      <c r="E43" s="11"/>
    </row>
    <row r="44" spans="5:5" x14ac:dyDescent="0.25">
      <c r="E44" s="11"/>
    </row>
    <row r="45" spans="5:5" x14ac:dyDescent="0.25">
      <c r="E45" s="11"/>
    </row>
    <row r="46" spans="5:5" x14ac:dyDescent="0.25">
      <c r="E46" s="11"/>
    </row>
    <row r="47" spans="5:5" x14ac:dyDescent="0.25">
      <c r="E47" s="11"/>
    </row>
    <row r="48" spans="5:5" x14ac:dyDescent="0.25">
      <c r="E48" s="11"/>
    </row>
    <row r="49" spans="5:5" x14ac:dyDescent="0.25">
      <c r="E49" s="11"/>
    </row>
    <row r="50" spans="5:5" x14ac:dyDescent="0.25">
      <c r="E50" s="11"/>
    </row>
    <row r="51" spans="5:5" x14ac:dyDescent="0.25">
      <c r="E51" s="11"/>
    </row>
    <row r="52" spans="5:5" x14ac:dyDescent="0.25">
      <c r="E52" s="11"/>
    </row>
    <row r="53" spans="5:5" x14ac:dyDescent="0.25">
      <c r="E53" s="11"/>
    </row>
    <row r="54" spans="5:5" x14ac:dyDescent="0.25">
      <c r="E54" s="11"/>
    </row>
    <row r="55" spans="5:5" x14ac:dyDescent="0.25">
      <c r="E55" s="11"/>
    </row>
    <row r="56" spans="5:5" x14ac:dyDescent="0.25">
      <c r="E56" s="11"/>
    </row>
    <row r="57" spans="5:5" x14ac:dyDescent="0.25">
      <c r="E57" s="11"/>
    </row>
    <row r="58" spans="5:5" x14ac:dyDescent="0.25">
      <c r="E58" s="11"/>
    </row>
    <row r="59" spans="5:5" x14ac:dyDescent="0.25">
      <c r="E59" s="11"/>
    </row>
    <row r="60" spans="5:5" x14ac:dyDescent="0.25">
      <c r="E60" s="11"/>
    </row>
    <row r="61" spans="5:5" x14ac:dyDescent="0.25">
      <c r="E61" s="11"/>
    </row>
    <row r="62" spans="5:5" x14ac:dyDescent="0.25">
      <c r="E62" s="11"/>
    </row>
    <row r="63" spans="5:5" x14ac:dyDescent="0.25">
      <c r="E63" s="11"/>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0"/>
  <sheetViews>
    <sheetView topLeftCell="A4" workbookViewId="0">
      <selection activeCell="D39" sqref="D39:D40"/>
    </sheetView>
  </sheetViews>
  <sheetFormatPr defaultRowHeight="15" x14ac:dyDescent="0.25"/>
  <cols>
    <col min="1" max="1" width="25.140625" bestFit="1" customWidth="1"/>
    <col min="2" max="2" width="8.5703125" bestFit="1" customWidth="1"/>
    <col min="3" max="3" width="5.85546875" bestFit="1" customWidth="1"/>
    <col min="4" max="4" width="11.28515625" bestFit="1" customWidth="1"/>
  </cols>
  <sheetData>
    <row r="3" spans="1:4" x14ac:dyDescent="0.25">
      <c r="A3" s="8" t="s">
        <v>72</v>
      </c>
      <c r="B3" s="8" t="s">
        <v>73</v>
      </c>
    </row>
    <row r="4" spans="1:4" x14ac:dyDescent="0.25">
      <c r="A4" s="8" t="s">
        <v>3</v>
      </c>
      <c r="B4" t="s">
        <v>12</v>
      </c>
      <c r="C4" t="s">
        <v>13</v>
      </c>
      <c r="D4" t="s">
        <v>2</v>
      </c>
    </row>
    <row r="5" spans="1:4" x14ac:dyDescent="0.25">
      <c r="A5" s="10" t="s">
        <v>74</v>
      </c>
      <c r="B5" s="15">
        <v>7</v>
      </c>
      <c r="C5" s="15"/>
      <c r="D5" s="15">
        <v>7</v>
      </c>
    </row>
    <row r="6" spans="1:4" x14ac:dyDescent="0.25">
      <c r="A6" s="10" t="s">
        <v>75</v>
      </c>
      <c r="B6" s="15">
        <v>5</v>
      </c>
      <c r="C6" s="15"/>
      <c r="D6" s="15">
        <v>5</v>
      </c>
    </row>
    <row r="7" spans="1:4" x14ac:dyDescent="0.25">
      <c r="A7" s="10" t="s">
        <v>76</v>
      </c>
      <c r="B7" s="15"/>
      <c r="C7" s="15">
        <v>7</v>
      </c>
      <c r="D7" s="15">
        <v>7</v>
      </c>
    </row>
    <row r="8" spans="1:4" x14ac:dyDescent="0.25">
      <c r="A8" s="10" t="s">
        <v>78</v>
      </c>
      <c r="B8" s="15">
        <v>6</v>
      </c>
      <c r="C8" s="15"/>
      <c r="D8" s="15">
        <v>6</v>
      </c>
    </row>
    <row r="9" spans="1:4" x14ac:dyDescent="0.25">
      <c r="A9" s="10" t="s">
        <v>80</v>
      </c>
      <c r="B9" s="15">
        <v>7</v>
      </c>
      <c r="C9" s="15"/>
      <c r="D9" s="15">
        <v>7</v>
      </c>
    </row>
    <row r="10" spans="1:4" x14ac:dyDescent="0.25">
      <c r="A10" s="10" t="s">
        <v>2</v>
      </c>
      <c r="B10" s="15">
        <v>25</v>
      </c>
      <c r="C10" s="15">
        <v>7</v>
      </c>
      <c r="D10" s="15">
        <v>32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I20"/>
  <sheetViews>
    <sheetView zoomScale="52" zoomScaleNormal="52" workbookViewId="0">
      <selection activeCell="A77" sqref="A77"/>
    </sheetView>
  </sheetViews>
  <sheetFormatPr defaultRowHeight="15" x14ac:dyDescent="0.25"/>
  <cols>
    <col min="1" max="1" width="48" customWidth="1"/>
    <col min="2" max="2" width="18.5703125" customWidth="1"/>
    <col min="3" max="3" width="9.140625" bestFit="1" customWidth="1"/>
    <col min="4" max="4" width="9" bestFit="1" customWidth="1"/>
    <col min="5" max="6" width="8.42578125" bestFit="1" customWidth="1"/>
    <col min="7" max="7" width="17.140625" bestFit="1" customWidth="1"/>
    <col min="8" max="8" width="8.42578125" bestFit="1" customWidth="1"/>
    <col min="9" max="9" width="11.7109375" bestFit="1" customWidth="1"/>
    <col min="10" max="10" width="17.140625" bestFit="1" customWidth="1"/>
    <col min="11" max="11" width="8.42578125" bestFit="1" customWidth="1"/>
    <col min="12" max="12" width="9" bestFit="1" customWidth="1"/>
    <col min="13" max="13" width="12.5703125" bestFit="1" customWidth="1"/>
    <col min="14" max="14" width="7.85546875" bestFit="1" customWidth="1"/>
    <col min="15" max="15" width="8.42578125" bestFit="1" customWidth="1"/>
    <col min="16" max="16" width="10.85546875" bestFit="1" customWidth="1"/>
    <col min="17" max="17" width="11.7109375" bestFit="1" customWidth="1"/>
    <col min="18" max="18" width="7.5703125" bestFit="1" customWidth="1"/>
    <col min="19" max="19" width="9.140625" bestFit="1" customWidth="1"/>
    <col min="20" max="20" width="17.140625" bestFit="1" customWidth="1"/>
    <col min="21" max="21" width="12.5703125" bestFit="1" customWidth="1"/>
    <col min="22" max="22" width="7.85546875" bestFit="1" customWidth="1"/>
    <col min="23" max="23" width="8.42578125" bestFit="1" customWidth="1"/>
    <col min="24" max="24" width="10.85546875" bestFit="1" customWidth="1"/>
    <col min="25" max="25" width="11.7109375" bestFit="1" customWidth="1"/>
    <col min="26" max="26" width="12.7109375" bestFit="1" customWidth="1"/>
    <col min="27" max="27" width="10" bestFit="1" customWidth="1"/>
    <col min="28" max="28" width="7.5703125" bestFit="1" customWidth="1"/>
    <col min="29" max="29" width="9.140625" bestFit="1" customWidth="1"/>
    <col min="30" max="30" width="8.140625" bestFit="1" customWidth="1"/>
    <col min="31" max="31" width="17.140625" bestFit="1" customWidth="1"/>
    <col min="32" max="32" width="8.42578125" bestFit="1" customWidth="1"/>
    <col min="33" max="33" width="10.85546875" bestFit="1" customWidth="1"/>
    <col min="34" max="34" width="11.7109375" bestFit="1" customWidth="1"/>
    <col min="35" max="35" width="10.28515625" bestFit="1" customWidth="1"/>
    <col min="36" max="36" width="10.85546875" bestFit="1" customWidth="1"/>
    <col min="37" max="37" width="12.7109375" bestFit="1" customWidth="1"/>
    <col min="38" max="38" width="7.5703125" customWidth="1"/>
    <col min="39" max="39" width="9.140625" bestFit="1" customWidth="1"/>
    <col min="40" max="40" width="12.7109375" bestFit="1" customWidth="1"/>
    <col min="41" max="41" width="10" bestFit="1" customWidth="1"/>
    <col min="42" max="42" width="7.5703125" customWidth="1"/>
    <col min="43" max="43" width="9.140625" bestFit="1" customWidth="1"/>
    <col min="44" max="44" width="8.140625" bestFit="1" customWidth="1"/>
    <col min="45" max="45" width="7.5703125" bestFit="1" customWidth="1"/>
    <col min="46" max="46" width="8.140625" bestFit="1" customWidth="1"/>
    <col min="47" max="47" width="17.140625" bestFit="1" customWidth="1"/>
    <col min="48" max="48" width="9.140625" customWidth="1"/>
    <col min="49" max="49" width="8.140625" customWidth="1"/>
    <col min="50" max="50" width="7.5703125" customWidth="1"/>
    <col min="51" max="51" width="8.140625" customWidth="1"/>
    <col min="52" max="52" width="7.28515625" customWidth="1"/>
    <col min="53" max="54" width="17.140625" customWidth="1"/>
    <col min="55" max="55" width="9.140625" customWidth="1"/>
    <col min="56" max="56" width="8.140625" customWidth="1"/>
    <col min="57" max="57" width="7.5703125" customWidth="1"/>
    <col min="58" max="58" width="8.140625" customWidth="1"/>
    <col min="59" max="59" width="7.28515625" customWidth="1"/>
    <col min="60" max="60" width="17.140625" customWidth="1"/>
  </cols>
  <sheetData>
    <row r="1" spans="1:61" x14ac:dyDescent="0.25">
      <c r="A1" s="10"/>
    </row>
    <row r="2" spans="1:61" x14ac:dyDescent="0.25">
      <c r="A2" s="10"/>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x14ac:dyDescent="0.25">
      <c r="A3" s="12" t="s">
        <v>82</v>
      </c>
      <c r="B3" s="12" t="s">
        <v>83</v>
      </c>
      <c r="C3" s="11"/>
      <c r="D3" s="11"/>
      <c r="E3" s="11"/>
      <c r="F3" s="11"/>
      <c r="G3" s="11"/>
      <c r="BI3" s="11"/>
    </row>
    <row r="4" spans="1:61" x14ac:dyDescent="0.25">
      <c r="A4" s="12" t="s">
        <v>3</v>
      </c>
      <c r="B4" s="11" t="s">
        <v>25</v>
      </c>
      <c r="C4" s="11" t="s">
        <v>27</v>
      </c>
      <c r="D4" s="11" t="s">
        <v>30</v>
      </c>
      <c r="E4" s="11" t="s">
        <v>43</v>
      </c>
      <c r="F4" s="11" t="s">
        <v>53</v>
      </c>
      <c r="G4" s="11" t="s">
        <v>2</v>
      </c>
      <c r="BI4" s="11"/>
    </row>
    <row r="5" spans="1:61" x14ac:dyDescent="0.25">
      <c r="A5" s="10" t="s">
        <v>74</v>
      </c>
      <c r="B5" s="31"/>
      <c r="C5" s="31"/>
      <c r="D5" s="31"/>
      <c r="E5" s="31"/>
      <c r="F5" s="31">
        <v>7</v>
      </c>
      <c r="G5" s="31">
        <v>7</v>
      </c>
      <c r="BI5" s="11"/>
    </row>
    <row r="6" spans="1:61" x14ac:dyDescent="0.25">
      <c r="A6" s="10" t="s">
        <v>75</v>
      </c>
      <c r="B6" s="31"/>
      <c r="C6" s="31"/>
      <c r="D6" s="31"/>
      <c r="E6" s="31">
        <v>5</v>
      </c>
      <c r="F6" s="31"/>
      <c r="G6" s="31">
        <v>5</v>
      </c>
      <c r="BI6" s="11"/>
    </row>
    <row r="7" spans="1:61" x14ac:dyDescent="0.25">
      <c r="A7" s="10" t="s">
        <v>76</v>
      </c>
      <c r="B7" s="31">
        <v>7</v>
      </c>
      <c r="C7" s="31"/>
      <c r="D7" s="31"/>
      <c r="E7" s="31"/>
      <c r="F7" s="31"/>
      <c r="G7" s="31">
        <v>7</v>
      </c>
      <c r="BI7" s="11"/>
    </row>
    <row r="8" spans="1:61" x14ac:dyDescent="0.25">
      <c r="A8" s="10" t="s">
        <v>78</v>
      </c>
      <c r="B8" s="31"/>
      <c r="C8" s="31">
        <v>6</v>
      </c>
      <c r="D8" s="31"/>
      <c r="E8" s="31"/>
      <c r="F8" s="31"/>
      <c r="G8" s="31">
        <v>6</v>
      </c>
      <c r="BI8" s="11"/>
    </row>
    <row r="9" spans="1:61" x14ac:dyDescent="0.25">
      <c r="A9" s="10" t="s">
        <v>80</v>
      </c>
      <c r="B9" s="31"/>
      <c r="C9" s="31"/>
      <c r="D9" s="31">
        <v>7</v>
      </c>
      <c r="E9" s="31"/>
      <c r="F9" s="31"/>
      <c r="G9" s="31">
        <v>7</v>
      </c>
      <c r="BI9" s="11"/>
    </row>
    <row r="10" spans="1:61" x14ac:dyDescent="0.25">
      <c r="A10" s="10" t="s">
        <v>2</v>
      </c>
      <c r="B10" s="31">
        <v>7</v>
      </c>
      <c r="C10" s="31">
        <v>6</v>
      </c>
      <c r="D10" s="31">
        <v>7</v>
      </c>
      <c r="E10" s="31">
        <v>5</v>
      </c>
      <c r="F10" s="31">
        <v>7</v>
      </c>
      <c r="G10" s="31">
        <v>32</v>
      </c>
      <c r="BI10" s="11"/>
    </row>
    <row r="11" spans="1:61" x14ac:dyDescent="0.25">
      <c r="BI11" s="11"/>
    </row>
    <row r="12" spans="1:61" x14ac:dyDescent="0.25">
      <c r="BI12" s="11"/>
    </row>
    <row r="13" spans="1:61" x14ac:dyDescent="0.25">
      <c r="BI13" s="11"/>
    </row>
    <row r="14" spans="1:61" x14ac:dyDescent="0.25">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row>
    <row r="15" spans="1:61" x14ac:dyDescent="0.25">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row>
    <row r="16" spans="1:61" x14ac:dyDescent="0.25">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row>
    <row r="17" spans="1:61" x14ac:dyDescent="0.25">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row>
    <row r="18" spans="1:61" x14ac:dyDescent="0.2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row>
    <row r="19" spans="1:61" x14ac:dyDescent="0.25">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row>
    <row r="20" spans="1:61" x14ac:dyDescent="0.25">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G10"/>
  <sheetViews>
    <sheetView workbookViewId="0">
      <selection activeCell="L34" sqref="L34"/>
    </sheetView>
  </sheetViews>
  <sheetFormatPr defaultRowHeight="15" x14ac:dyDescent="0.25"/>
  <cols>
    <col min="1" max="1" width="33.140625" bestFit="1" customWidth="1"/>
    <col min="2" max="2" width="12.7109375" bestFit="1" customWidth="1"/>
    <col min="3" max="3" width="6.42578125" bestFit="1" customWidth="1"/>
    <col min="4" max="4" width="8.140625" bestFit="1" customWidth="1"/>
    <col min="5" max="5" width="6.42578125" bestFit="1" customWidth="1"/>
    <col min="6" max="6" width="6.85546875" bestFit="1" customWidth="1"/>
    <col min="7" max="7" width="11.28515625" bestFit="1" customWidth="1"/>
    <col min="8" max="8" width="5.140625" bestFit="1" customWidth="1"/>
    <col min="9" max="9" width="5.85546875" bestFit="1" customWidth="1"/>
    <col min="10" max="11" width="11.28515625" bestFit="1" customWidth="1"/>
  </cols>
  <sheetData>
    <row r="3" spans="1:7" x14ac:dyDescent="0.25">
      <c r="A3" s="8" t="s">
        <v>84</v>
      </c>
      <c r="B3" s="8" t="s">
        <v>85</v>
      </c>
    </row>
    <row r="4" spans="1:7" x14ac:dyDescent="0.25">
      <c r="A4" s="8" t="s">
        <v>3</v>
      </c>
      <c r="B4" t="s">
        <v>87</v>
      </c>
      <c r="C4" t="s">
        <v>89</v>
      </c>
      <c r="D4" t="s">
        <v>90</v>
      </c>
      <c r="E4" t="s">
        <v>91</v>
      </c>
      <c r="F4" t="s">
        <v>92</v>
      </c>
      <c r="G4" t="s">
        <v>2</v>
      </c>
    </row>
    <row r="5" spans="1:7" x14ac:dyDescent="0.25">
      <c r="A5" s="10" t="s">
        <v>74</v>
      </c>
      <c r="B5" s="15"/>
      <c r="C5" s="15"/>
      <c r="D5" s="15">
        <v>7</v>
      </c>
      <c r="E5" s="15"/>
      <c r="F5" s="15"/>
      <c r="G5" s="15">
        <v>7</v>
      </c>
    </row>
    <row r="6" spans="1:7" x14ac:dyDescent="0.25">
      <c r="A6" s="10" t="s">
        <v>75</v>
      </c>
      <c r="B6" s="15"/>
      <c r="C6" s="15">
        <v>5</v>
      </c>
      <c r="D6" s="15"/>
      <c r="E6" s="15"/>
      <c r="F6" s="15"/>
      <c r="G6" s="15">
        <v>5</v>
      </c>
    </row>
    <row r="7" spans="1:7" x14ac:dyDescent="0.25">
      <c r="A7" s="10" t="s">
        <v>76</v>
      </c>
      <c r="B7" s="15"/>
      <c r="C7" s="15"/>
      <c r="D7" s="15"/>
      <c r="E7" s="15">
        <v>7</v>
      </c>
      <c r="F7" s="15"/>
      <c r="G7" s="15">
        <v>7</v>
      </c>
    </row>
    <row r="8" spans="1:7" x14ac:dyDescent="0.25">
      <c r="A8" s="10" t="s">
        <v>78</v>
      </c>
      <c r="B8" s="15">
        <v>6</v>
      </c>
      <c r="C8" s="15"/>
      <c r="D8" s="15"/>
      <c r="E8" s="15"/>
      <c r="F8" s="15"/>
      <c r="G8" s="15">
        <v>6</v>
      </c>
    </row>
    <row r="9" spans="1:7" x14ac:dyDescent="0.25">
      <c r="A9" s="10" t="s">
        <v>80</v>
      </c>
      <c r="B9" s="15"/>
      <c r="C9" s="15"/>
      <c r="D9" s="15"/>
      <c r="E9" s="15"/>
      <c r="F9" s="15">
        <v>7</v>
      </c>
      <c r="G9" s="15">
        <v>7</v>
      </c>
    </row>
    <row r="10" spans="1:7" x14ac:dyDescent="0.25">
      <c r="A10" s="10" t="s">
        <v>2</v>
      </c>
      <c r="B10" s="15">
        <v>6</v>
      </c>
      <c r="C10" s="15">
        <v>5</v>
      </c>
      <c r="D10" s="15">
        <v>7</v>
      </c>
      <c r="E10" s="15">
        <v>7</v>
      </c>
      <c r="F10" s="15">
        <v>7</v>
      </c>
      <c r="G10" s="15">
        <v>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G10"/>
  <sheetViews>
    <sheetView zoomScale="85" zoomScaleNormal="85" workbookViewId="0">
      <selection activeCell="S23" sqref="S23"/>
    </sheetView>
  </sheetViews>
  <sheetFormatPr defaultRowHeight="15" x14ac:dyDescent="0.25"/>
  <cols>
    <col min="1" max="1" width="41.42578125" bestFit="1" customWidth="1"/>
    <col min="2" max="2" width="25.140625" bestFit="1" customWidth="1"/>
    <col min="3" max="3" width="21.7109375" bestFit="1" customWidth="1"/>
    <col min="4" max="4" width="16.140625" bestFit="1" customWidth="1"/>
    <col min="5" max="5" width="17" bestFit="1" customWidth="1"/>
    <col min="6" max="6" width="16" bestFit="1" customWidth="1"/>
    <col min="7" max="7" width="11.28515625" bestFit="1" customWidth="1"/>
    <col min="8" max="8" width="13.140625" bestFit="1" customWidth="1"/>
    <col min="9" max="9" width="16" bestFit="1" customWidth="1"/>
    <col min="10" max="10" width="11.28515625" bestFit="1" customWidth="1"/>
  </cols>
  <sheetData>
    <row r="3" spans="1:7" x14ac:dyDescent="0.25">
      <c r="A3" s="8" t="s">
        <v>95</v>
      </c>
      <c r="B3" s="8" t="s">
        <v>96</v>
      </c>
    </row>
    <row r="4" spans="1:7" x14ac:dyDescent="0.25">
      <c r="A4" s="8" t="s">
        <v>97</v>
      </c>
      <c r="B4" t="s">
        <v>74</v>
      </c>
      <c r="C4" t="s">
        <v>75</v>
      </c>
      <c r="D4" t="s">
        <v>76</v>
      </c>
      <c r="E4" t="s">
        <v>78</v>
      </c>
      <c r="F4" t="s">
        <v>80</v>
      </c>
      <c r="G4" t="s">
        <v>2</v>
      </c>
    </row>
    <row r="5" spans="1:7" x14ac:dyDescent="0.25">
      <c r="A5" s="10" t="s">
        <v>5</v>
      </c>
      <c r="B5" s="15">
        <v>7</v>
      </c>
      <c r="C5" s="15"/>
      <c r="D5" s="15"/>
      <c r="E5" s="15"/>
      <c r="F5" s="15"/>
      <c r="G5" s="15">
        <v>7</v>
      </c>
    </row>
    <row r="6" spans="1:7" x14ac:dyDescent="0.25">
      <c r="A6" s="10" t="s">
        <v>6</v>
      </c>
      <c r="B6" s="15"/>
      <c r="C6" s="15"/>
      <c r="D6" s="15"/>
      <c r="E6" s="15">
        <v>6</v>
      </c>
      <c r="F6" s="15"/>
      <c r="G6" s="15">
        <v>6</v>
      </c>
    </row>
    <row r="7" spans="1:7" x14ac:dyDescent="0.25">
      <c r="A7" s="10" t="s">
        <v>7</v>
      </c>
      <c r="B7" s="15"/>
      <c r="C7" s="15">
        <v>5</v>
      </c>
      <c r="D7" s="15"/>
      <c r="E7" s="15"/>
      <c r="F7" s="15"/>
      <c r="G7" s="15">
        <v>5</v>
      </c>
    </row>
    <row r="8" spans="1:7" x14ac:dyDescent="0.25">
      <c r="A8" s="10" t="s">
        <v>8</v>
      </c>
      <c r="B8" s="15"/>
      <c r="C8" s="15"/>
      <c r="D8" s="15">
        <v>7</v>
      </c>
      <c r="E8" s="15"/>
      <c r="F8" s="15"/>
      <c r="G8" s="15">
        <v>7</v>
      </c>
    </row>
    <row r="9" spans="1:7" x14ac:dyDescent="0.25">
      <c r="A9" s="10" t="s">
        <v>9</v>
      </c>
      <c r="B9" s="15"/>
      <c r="C9" s="15"/>
      <c r="D9" s="15"/>
      <c r="E9" s="15"/>
      <c r="F9" s="15">
        <v>7</v>
      </c>
      <c r="G9" s="15">
        <v>7</v>
      </c>
    </row>
    <row r="10" spans="1:7" x14ac:dyDescent="0.25">
      <c r="A10" s="10" t="s">
        <v>2</v>
      </c>
      <c r="B10" s="15">
        <v>7</v>
      </c>
      <c r="C10" s="15">
        <v>5</v>
      </c>
      <c r="D10" s="15">
        <v>7</v>
      </c>
      <c r="E10" s="15">
        <v>6</v>
      </c>
      <c r="F10" s="15">
        <v>7</v>
      </c>
      <c r="G10" s="15">
        <v>32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2"/>
  <sheetViews>
    <sheetView zoomScale="55" zoomScaleNormal="55" workbookViewId="0">
      <selection activeCell="I20" sqref="I20"/>
    </sheetView>
  </sheetViews>
  <sheetFormatPr defaultRowHeight="15" x14ac:dyDescent="0.25"/>
  <cols>
    <col min="1" max="1" width="21.28515625" customWidth="1"/>
    <col min="2" max="2" width="16.7109375" customWidth="1"/>
    <col min="3" max="3" width="17.5703125" customWidth="1"/>
    <col min="4" max="4" width="19.7109375" customWidth="1"/>
    <col min="5" max="5" width="18.5703125" customWidth="1"/>
    <col min="6" max="6" width="27.140625" customWidth="1"/>
    <col min="7" max="7" width="19.28515625" customWidth="1"/>
    <col min="8" max="8" width="19.85546875" customWidth="1"/>
    <col min="9" max="9" width="17" customWidth="1"/>
    <col min="10" max="10" width="42.7109375" customWidth="1"/>
    <col min="11" max="11" width="20.85546875" customWidth="1"/>
    <col min="12" max="12" width="22.28515625" customWidth="1"/>
  </cols>
  <sheetData>
    <row r="1" spans="1:14" ht="21.75" customHeight="1" x14ac:dyDescent="0.35">
      <c r="A1" s="2" t="s">
        <v>1</v>
      </c>
      <c r="B1" s="2" t="s">
        <v>73</v>
      </c>
      <c r="C1" s="2" t="s">
        <v>98</v>
      </c>
      <c r="D1" s="2" t="s">
        <v>99</v>
      </c>
      <c r="E1" s="2" t="s">
        <v>100</v>
      </c>
      <c r="F1" s="2" t="s">
        <v>96</v>
      </c>
      <c r="G1" s="2" t="s">
        <v>83</v>
      </c>
      <c r="H1" s="2" t="s">
        <v>85</v>
      </c>
      <c r="I1" s="2" t="s">
        <v>101</v>
      </c>
      <c r="J1" s="2" t="s">
        <v>97</v>
      </c>
      <c r="K1" s="2" t="s">
        <v>102</v>
      </c>
      <c r="L1" s="2" t="s">
        <v>103</v>
      </c>
      <c r="M1" s="2"/>
      <c r="N1" s="1"/>
    </row>
    <row r="2" spans="1:14" x14ac:dyDescent="0.25">
      <c r="A2" s="7">
        <v>43466</v>
      </c>
      <c r="B2" s="3" t="s">
        <v>12</v>
      </c>
      <c r="C2" s="4">
        <v>0.30208333333333331</v>
      </c>
      <c r="D2" s="4">
        <v>0.66666666666666663</v>
      </c>
      <c r="E2" s="3">
        <v>8</v>
      </c>
      <c r="F2" s="5" t="s">
        <v>74</v>
      </c>
      <c r="G2" s="3" t="s">
        <v>15</v>
      </c>
      <c r="H2" s="3" t="s">
        <v>90</v>
      </c>
      <c r="I2" s="3" t="s">
        <v>104</v>
      </c>
      <c r="J2" s="5" t="s">
        <v>5</v>
      </c>
      <c r="K2" s="3" t="s">
        <v>105</v>
      </c>
      <c r="L2" s="3">
        <v>8</v>
      </c>
    </row>
    <row r="3" spans="1:14" x14ac:dyDescent="0.25">
      <c r="A3" s="7">
        <v>43466</v>
      </c>
      <c r="B3" s="3" t="s">
        <v>12</v>
      </c>
      <c r="C3" s="4">
        <v>0.28125</v>
      </c>
      <c r="D3" s="4">
        <v>0.62847222222222221</v>
      </c>
      <c r="E3" s="3">
        <v>8</v>
      </c>
      <c r="F3" s="3" t="s">
        <v>79</v>
      </c>
      <c r="G3" s="3" t="s">
        <v>18</v>
      </c>
      <c r="H3" s="3" t="s">
        <v>93</v>
      </c>
      <c r="I3" s="3" t="s">
        <v>104</v>
      </c>
      <c r="J3" s="5" t="s">
        <v>5</v>
      </c>
      <c r="K3" s="3" t="s">
        <v>106</v>
      </c>
      <c r="L3" s="3">
        <v>7</v>
      </c>
    </row>
    <row r="4" spans="1:14" x14ac:dyDescent="0.25">
      <c r="A4" s="7">
        <v>43466</v>
      </c>
      <c r="B4" s="3" t="s">
        <v>12</v>
      </c>
      <c r="C4" s="4">
        <v>0.29166666666666669</v>
      </c>
      <c r="D4" s="4">
        <v>0.63541666666666663</v>
      </c>
      <c r="E4" s="3">
        <v>8</v>
      </c>
      <c r="F4" s="3" t="s">
        <v>79</v>
      </c>
      <c r="G4" s="3" t="s">
        <v>14</v>
      </c>
      <c r="H4" s="3" t="s">
        <v>93</v>
      </c>
      <c r="I4" s="3" t="s">
        <v>104</v>
      </c>
      <c r="J4" s="5" t="s">
        <v>5</v>
      </c>
      <c r="K4" s="3" t="s">
        <v>107</v>
      </c>
      <c r="L4" s="3">
        <v>8</v>
      </c>
    </row>
    <row r="5" spans="1:14" x14ac:dyDescent="0.25">
      <c r="A5" s="7">
        <v>43539</v>
      </c>
      <c r="B5" s="3" t="s">
        <v>13</v>
      </c>
      <c r="C5" s="4">
        <v>0.625</v>
      </c>
      <c r="D5" s="4">
        <v>0.97222222222222221</v>
      </c>
      <c r="E5" s="3">
        <v>8</v>
      </c>
      <c r="F5" s="3" t="s">
        <v>81</v>
      </c>
      <c r="G5" s="3" t="s">
        <v>33</v>
      </c>
      <c r="H5" s="3" t="s">
        <v>88</v>
      </c>
      <c r="I5" s="3" t="s">
        <v>108</v>
      </c>
      <c r="J5" s="5" t="s">
        <v>6</v>
      </c>
      <c r="K5" s="3" t="s">
        <v>109</v>
      </c>
      <c r="L5" s="3">
        <v>10</v>
      </c>
    </row>
    <row r="6" spans="1:14" x14ac:dyDescent="0.25">
      <c r="A6" s="7">
        <v>43550</v>
      </c>
      <c r="B6" s="3" t="s">
        <v>13</v>
      </c>
      <c r="C6" s="4">
        <v>0.625</v>
      </c>
      <c r="D6" s="4">
        <v>0.96875</v>
      </c>
      <c r="E6" s="3">
        <v>8</v>
      </c>
      <c r="F6" s="3" t="s">
        <v>80</v>
      </c>
      <c r="G6" s="3" t="s">
        <v>48</v>
      </c>
      <c r="H6" s="3" t="s">
        <v>92</v>
      </c>
      <c r="I6" s="3" t="s">
        <v>110</v>
      </c>
      <c r="J6" s="5" t="s">
        <v>9</v>
      </c>
      <c r="K6" s="3" t="s">
        <v>111</v>
      </c>
      <c r="L6" s="3">
        <v>7</v>
      </c>
    </row>
    <row r="7" spans="1:14" x14ac:dyDescent="0.25">
      <c r="A7" s="7">
        <v>43575</v>
      </c>
      <c r="B7" s="3" t="s">
        <v>12</v>
      </c>
      <c r="C7" s="4">
        <v>0.29166666666666669</v>
      </c>
      <c r="D7" s="4">
        <v>0.61111111111111105</v>
      </c>
      <c r="E7" s="3">
        <v>8</v>
      </c>
      <c r="F7" s="3" t="s">
        <v>75</v>
      </c>
      <c r="G7" s="3" t="s">
        <v>43</v>
      </c>
      <c r="H7" s="3" t="s">
        <v>89</v>
      </c>
      <c r="I7" s="3" t="s">
        <v>112</v>
      </c>
      <c r="J7" s="5" t="s">
        <v>7</v>
      </c>
      <c r="K7" s="3" t="s">
        <v>113</v>
      </c>
      <c r="L7" s="3">
        <v>5</v>
      </c>
    </row>
    <row r="8" spans="1:14" x14ac:dyDescent="0.25">
      <c r="A8" s="7">
        <v>43583</v>
      </c>
      <c r="B8" s="3" t="s">
        <v>12</v>
      </c>
      <c r="C8" s="4">
        <v>0.29166666666666669</v>
      </c>
      <c r="D8" s="4">
        <v>0.63194444444444442</v>
      </c>
      <c r="E8" s="3">
        <v>8</v>
      </c>
      <c r="F8" s="3" t="s">
        <v>78</v>
      </c>
      <c r="G8" s="3" t="s">
        <v>23</v>
      </c>
      <c r="H8" s="3" t="s">
        <v>86</v>
      </c>
      <c r="I8" s="3" t="s">
        <v>114</v>
      </c>
      <c r="J8" s="5" t="s">
        <v>6</v>
      </c>
      <c r="K8" s="3" t="s">
        <v>115</v>
      </c>
      <c r="L8" s="3">
        <v>2</v>
      </c>
    </row>
    <row r="9" spans="1:14" x14ac:dyDescent="0.25">
      <c r="A9" s="7">
        <v>43586</v>
      </c>
      <c r="B9" s="3" t="s">
        <v>12</v>
      </c>
      <c r="C9" s="4">
        <v>0.29166666666666669</v>
      </c>
      <c r="D9" s="4">
        <v>0.65972222222222221</v>
      </c>
      <c r="E9" s="3">
        <v>8</v>
      </c>
      <c r="F9" s="3" t="s">
        <v>77</v>
      </c>
      <c r="G9" s="3" t="s">
        <v>47</v>
      </c>
      <c r="H9" s="3" t="s">
        <v>94</v>
      </c>
      <c r="I9" s="3" t="s">
        <v>112</v>
      </c>
      <c r="J9" s="5" t="s">
        <v>7</v>
      </c>
      <c r="K9" s="3" t="s">
        <v>116</v>
      </c>
      <c r="L9" s="3">
        <v>6</v>
      </c>
    </row>
    <row r="10" spans="1:14" x14ac:dyDescent="0.25">
      <c r="A10" s="7">
        <v>43599</v>
      </c>
      <c r="B10" s="3" t="s">
        <v>12</v>
      </c>
      <c r="C10" s="4">
        <v>0.29166666666666669</v>
      </c>
      <c r="D10" s="4">
        <v>0.62847222222222221</v>
      </c>
      <c r="E10" s="3">
        <v>8</v>
      </c>
      <c r="F10" s="3" t="s">
        <v>81</v>
      </c>
      <c r="G10" s="3" t="s">
        <v>34</v>
      </c>
      <c r="H10" s="3" t="s">
        <v>88</v>
      </c>
      <c r="I10" s="3" t="s">
        <v>114</v>
      </c>
      <c r="J10" s="5" t="s">
        <v>6</v>
      </c>
      <c r="K10" s="3" t="s">
        <v>117</v>
      </c>
      <c r="L10" s="3">
        <v>1</v>
      </c>
    </row>
    <row r="11" spans="1:14" x14ac:dyDescent="0.25">
      <c r="A11" s="7">
        <v>43626</v>
      </c>
      <c r="B11" s="3" t="s">
        <v>12</v>
      </c>
      <c r="C11" s="4">
        <v>0.29166666666666669</v>
      </c>
      <c r="D11" s="4">
        <v>0.625</v>
      </c>
      <c r="E11" s="3">
        <v>8</v>
      </c>
      <c r="F11" s="3" t="s">
        <v>81</v>
      </c>
      <c r="G11" s="3" t="s">
        <v>65</v>
      </c>
      <c r="H11" s="3" t="s">
        <v>88</v>
      </c>
      <c r="I11" s="3" t="s">
        <v>114</v>
      </c>
      <c r="J11" s="5" t="s">
        <v>6</v>
      </c>
      <c r="K11" s="3" t="s">
        <v>118</v>
      </c>
      <c r="L11" s="3">
        <v>8</v>
      </c>
    </row>
    <row r="12" spans="1:14" x14ac:dyDescent="0.25">
      <c r="A12" s="7">
        <v>43638</v>
      </c>
      <c r="B12" s="3" t="s">
        <v>12</v>
      </c>
      <c r="C12" s="4">
        <v>0.30208333333333331</v>
      </c>
      <c r="D12" s="4">
        <v>0.63541666666666663</v>
      </c>
      <c r="E12" s="3">
        <v>8</v>
      </c>
      <c r="F12" s="5" t="s">
        <v>74</v>
      </c>
      <c r="G12" s="3" t="s">
        <v>44</v>
      </c>
      <c r="H12" s="3" t="s">
        <v>90</v>
      </c>
      <c r="I12" s="3" t="s">
        <v>104</v>
      </c>
      <c r="J12" s="5" t="s">
        <v>5</v>
      </c>
      <c r="K12" s="3" t="s">
        <v>119</v>
      </c>
      <c r="L12" s="3">
        <v>8</v>
      </c>
    </row>
    <row r="13" spans="1:14" x14ac:dyDescent="0.25">
      <c r="A13" s="7">
        <v>43650</v>
      </c>
      <c r="B13" s="3" t="s">
        <v>12</v>
      </c>
      <c r="C13" s="4">
        <v>0.29166666666666669</v>
      </c>
      <c r="D13" s="4">
        <v>0.625</v>
      </c>
      <c r="E13" s="3">
        <v>8</v>
      </c>
      <c r="F13" s="3" t="s">
        <v>81</v>
      </c>
      <c r="G13" s="3" t="s">
        <v>34</v>
      </c>
      <c r="H13" s="3" t="s">
        <v>88</v>
      </c>
      <c r="I13" s="3" t="s">
        <v>114</v>
      </c>
      <c r="J13" s="5" t="s">
        <v>6</v>
      </c>
      <c r="K13" s="3" t="s">
        <v>105</v>
      </c>
      <c r="L13" s="3">
        <v>1</v>
      </c>
    </row>
    <row r="14" spans="1:14" x14ac:dyDescent="0.25">
      <c r="A14" s="7">
        <v>43661</v>
      </c>
      <c r="B14" s="3" t="s">
        <v>12</v>
      </c>
      <c r="C14" s="4">
        <v>0.29166666666666669</v>
      </c>
      <c r="D14" s="4">
        <v>0.625</v>
      </c>
      <c r="E14" s="3">
        <v>8</v>
      </c>
      <c r="F14" s="3" t="s">
        <v>79</v>
      </c>
      <c r="G14" s="3" t="s">
        <v>68</v>
      </c>
      <c r="H14" s="3" t="s">
        <v>93</v>
      </c>
      <c r="I14" s="3" t="s">
        <v>104</v>
      </c>
      <c r="J14" s="5" t="s">
        <v>5</v>
      </c>
      <c r="K14" s="3" t="s">
        <v>106</v>
      </c>
      <c r="L14" s="3">
        <v>2</v>
      </c>
    </row>
    <row r="15" spans="1:14" x14ac:dyDescent="0.25">
      <c r="A15" s="7">
        <v>43661</v>
      </c>
      <c r="B15" s="3" t="s">
        <v>13</v>
      </c>
      <c r="C15" s="4">
        <v>0.625</v>
      </c>
      <c r="D15" s="4">
        <v>0.91666666666666663</v>
      </c>
      <c r="E15" s="3">
        <v>8</v>
      </c>
      <c r="F15" s="3" t="s">
        <v>75</v>
      </c>
      <c r="G15" s="3" t="s">
        <v>20</v>
      </c>
      <c r="H15" s="3" t="s">
        <v>89</v>
      </c>
      <c r="I15" s="3" t="s">
        <v>112</v>
      </c>
      <c r="J15" s="5" t="s">
        <v>7</v>
      </c>
      <c r="K15" s="3" t="s">
        <v>107</v>
      </c>
      <c r="L15" s="3">
        <v>5</v>
      </c>
    </row>
    <row r="16" spans="1:14" x14ac:dyDescent="0.25">
      <c r="A16" s="7">
        <v>43678</v>
      </c>
      <c r="B16" s="3" t="s">
        <v>13</v>
      </c>
      <c r="C16" s="4">
        <v>0.625</v>
      </c>
      <c r="D16" s="4">
        <v>0.96180555555555547</v>
      </c>
      <c r="E16" s="3">
        <v>8</v>
      </c>
      <c r="F16" s="5" t="s">
        <v>74</v>
      </c>
      <c r="G16" s="3" t="s">
        <v>52</v>
      </c>
      <c r="H16" s="3" t="s">
        <v>90</v>
      </c>
      <c r="I16" s="3" t="s">
        <v>104</v>
      </c>
      <c r="J16" s="5" t="s">
        <v>5</v>
      </c>
      <c r="K16" s="3" t="s">
        <v>109</v>
      </c>
      <c r="L16" s="3">
        <v>9</v>
      </c>
    </row>
    <row r="17" spans="1:12" x14ac:dyDescent="0.25">
      <c r="A17" s="7">
        <v>43680</v>
      </c>
      <c r="B17" s="3" t="s">
        <v>13</v>
      </c>
      <c r="C17" s="4">
        <v>0.625</v>
      </c>
      <c r="D17" s="4">
        <v>0.96805555555555556</v>
      </c>
      <c r="E17" s="3">
        <v>8</v>
      </c>
      <c r="F17" s="3" t="s">
        <v>78</v>
      </c>
      <c r="G17" s="3" t="s">
        <v>39</v>
      </c>
      <c r="H17" s="3" t="s">
        <v>87</v>
      </c>
      <c r="I17" s="3" t="s">
        <v>114</v>
      </c>
      <c r="J17" s="5" t="s">
        <v>6</v>
      </c>
      <c r="K17" s="3" t="s">
        <v>111</v>
      </c>
      <c r="L17" s="3">
        <v>9</v>
      </c>
    </row>
    <row r="18" spans="1:12" x14ac:dyDescent="0.25">
      <c r="A18" s="7">
        <v>43692</v>
      </c>
      <c r="B18" s="3" t="s">
        <v>13</v>
      </c>
      <c r="C18" s="4">
        <v>0.625</v>
      </c>
      <c r="D18" s="4">
        <v>0.95833333333333337</v>
      </c>
      <c r="E18" s="3">
        <v>8</v>
      </c>
      <c r="F18" s="3" t="s">
        <v>80</v>
      </c>
      <c r="G18" s="3" t="s">
        <v>30</v>
      </c>
      <c r="H18" s="3" t="s">
        <v>92</v>
      </c>
      <c r="I18" s="3" t="s">
        <v>110</v>
      </c>
      <c r="J18" s="5" t="s">
        <v>9</v>
      </c>
      <c r="K18" s="3" t="s">
        <v>113</v>
      </c>
      <c r="L18" s="3">
        <v>10</v>
      </c>
    </row>
    <row r="19" spans="1:12" x14ac:dyDescent="0.25">
      <c r="A19" s="7">
        <v>43706</v>
      </c>
      <c r="B19" s="3" t="s">
        <v>13</v>
      </c>
      <c r="C19" s="4">
        <v>0.625</v>
      </c>
      <c r="D19" s="4">
        <v>0.95833333333333337</v>
      </c>
      <c r="E19" s="3">
        <v>8</v>
      </c>
      <c r="F19" s="3" t="s">
        <v>76</v>
      </c>
      <c r="G19" s="3" t="s">
        <v>54</v>
      </c>
      <c r="H19" s="3" t="s">
        <v>91</v>
      </c>
      <c r="I19" s="3" t="s">
        <v>120</v>
      </c>
      <c r="J19" s="5" t="s">
        <v>8</v>
      </c>
      <c r="K19" s="3" t="s">
        <v>115</v>
      </c>
      <c r="L19" s="3">
        <v>4</v>
      </c>
    </row>
    <row r="20" spans="1:12" x14ac:dyDescent="0.25">
      <c r="A20" s="7">
        <v>43717</v>
      </c>
      <c r="B20" s="3" t="s">
        <v>13</v>
      </c>
      <c r="C20" s="4">
        <v>0.625</v>
      </c>
      <c r="D20" s="4">
        <v>0.95833333333333337</v>
      </c>
      <c r="E20" s="3">
        <v>8</v>
      </c>
      <c r="F20" s="3" t="s">
        <v>79</v>
      </c>
      <c r="G20" s="3" t="s">
        <v>59</v>
      </c>
      <c r="H20" s="3" t="s">
        <v>93</v>
      </c>
      <c r="I20" s="3" t="s">
        <v>104</v>
      </c>
      <c r="J20" s="5" t="s">
        <v>5</v>
      </c>
      <c r="K20" s="3" t="s">
        <v>116</v>
      </c>
      <c r="L20" s="3">
        <v>5</v>
      </c>
    </row>
    <row r="21" spans="1:12" x14ac:dyDescent="0.25">
      <c r="A21" s="7">
        <v>43737</v>
      </c>
      <c r="B21" s="3" t="s">
        <v>13</v>
      </c>
      <c r="C21" s="4">
        <v>0.625</v>
      </c>
      <c r="D21" s="4">
        <v>0.95833333333333337</v>
      </c>
      <c r="E21" s="3">
        <v>8</v>
      </c>
      <c r="F21" s="3" t="s">
        <v>78</v>
      </c>
      <c r="G21" s="3" t="s">
        <v>29</v>
      </c>
      <c r="H21" s="3" t="s">
        <v>87</v>
      </c>
      <c r="I21" s="3" t="s">
        <v>114</v>
      </c>
      <c r="J21" s="5" t="s">
        <v>6</v>
      </c>
      <c r="K21" s="3" t="s">
        <v>117</v>
      </c>
      <c r="L21" s="3">
        <v>5</v>
      </c>
    </row>
    <row r="22" spans="1:12" x14ac:dyDescent="0.25">
      <c r="A22" s="7">
        <v>43738</v>
      </c>
      <c r="B22" s="3" t="s">
        <v>13</v>
      </c>
      <c r="C22" s="4">
        <v>0.625</v>
      </c>
      <c r="D22" s="4">
        <v>0.95833333333333337</v>
      </c>
      <c r="E22" s="3">
        <v>8</v>
      </c>
      <c r="F22" s="3" t="s">
        <v>77</v>
      </c>
      <c r="G22" s="3" t="s">
        <v>17</v>
      </c>
      <c r="H22" s="3" t="s">
        <v>94</v>
      </c>
      <c r="I22" s="3" t="s">
        <v>112</v>
      </c>
      <c r="J22" s="5" t="s">
        <v>7</v>
      </c>
      <c r="K22" s="3" t="s">
        <v>118</v>
      </c>
      <c r="L22" s="3">
        <v>6</v>
      </c>
    </row>
    <row r="23" spans="1:12" x14ac:dyDescent="0.25">
      <c r="A23" s="7">
        <v>43742</v>
      </c>
      <c r="B23" s="3" t="s">
        <v>13</v>
      </c>
      <c r="C23" s="4">
        <v>0.625</v>
      </c>
      <c r="D23" s="4">
        <v>0.95833333333333337</v>
      </c>
      <c r="E23" s="3">
        <v>8</v>
      </c>
      <c r="F23" s="3" t="s">
        <v>76</v>
      </c>
      <c r="G23" s="3" t="s">
        <v>25</v>
      </c>
      <c r="H23" s="3" t="s">
        <v>91</v>
      </c>
      <c r="I23" s="3" t="s">
        <v>120</v>
      </c>
      <c r="J23" s="5" t="s">
        <v>8</v>
      </c>
      <c r="K23" s="3" t="s">
        <v>119</v>
      </c>
      <c r="L23" s="3">
        <v>7</v>
      </c>
    </row>
    <row r="24" spans="1:12" x14ac:dyDescent="0.25">
      <c r="A24" s="7">
        <v>43742</v>
      </c>
      <c r="B24" s="3" t="s">
        <v>12</v>
      </c>
      <c r="C24" s="4">
        <v>0.29166666666666669</v>
      </c>
      <c r="D24" s="4">
        <v>0.625</v>
      </c>
      <c r="E24" s="3">
        <v>8</v>
      </c>
      <c r="F24" s="3" t="s">
        <v>80</v>
      </c>
      <c r="G24" s="3" t="s">
        <v>30</v>
      </c>
      <c r="H24" s="3" t="s">
        <v>92</v>
      </c>
      <c r="I24" s="3" t="s">
        <v>110</v>
      </c>
      <c r="J24" s="5" t="s">
        <v>9</v>
      </c>
      <c r="K24" s="3" t="s">
        <v>105</v>
      </c>
      <c r="L24" s="3">
        <v>7</v>
      </c>
    </row>
    <row r="25" spans="1:12" x14ac:dyDescent="0.25">
      <c r="A25" s="7">
        <v>43753</v>
      </c>
      <c r="B25" s="3" t="s">
        <v>13</v>
      </c>
      <c r="C25" s="4">
        <v>0.625</v>
      </c>
      <c r="D25" s="4">
        <v>0.95833333333333337</v>
      </c>
      <c r="E25" s="3">
        <v>8</v>
      </c>
      <c r="F25" s="3" t="s">
        <v>76</v>
      </c>
      <c r="G25" s="3" t="s">
        <v>56</v>
      </c>
      <c r="H25" s="3" t="s">
        <v>91</v>
      </c>
      <c r="I25" s="3" t="s">
        <v>120</v>
      </c>
      <c r="J25" s="5" t="s">
        <v>8</v>
      </c>
      <c r="K25" s="3" t="s">
        <v>106</v>
      </c>
      <c r="L25" s="3">
        <v>6</v>
      </c>
    </row>
    <row r="26" spans="1:12" x14ac:dyDescent="0.25">
      <c r="A26" s="7">
        <v>43756</v>
      </c>
      <c r="B26" s="3" t="s">
        <v>13</v>
      </c>
      <c r="C26" s="4">
        <v>0.625</v>
      </c>
      <c r="D26" s="4">
        <v>0.95833333333333337</v>
      </c>
      <c r="E26" s="3">
        <v>8</v>
      </c>
      <c r="F26" s="5" t="s">
        <v>74</v>
      </c>
      <c r="G26" s="3" t="s">
        <v>44</v>
      </c>
      <c r="H26" s="3" t="s">
        <v>90</v>
      </c>
      <c r="I26" s="3" t="s">
        <v>104</v>
      </c>
      <c r="J26" s="5" t="s">
        <v>5</v>
      </c>
      <c r="K26" s="3" t="s">
        <v>107</v>
      </c>
      <c r="L26" s="3">
        <v>5</v>
      </c>
    </row>
    <row r="27" spans="1:12" x14ac:dyDescent="0.25">
      <c r="A27" s="7">
        <v>43762</v>
      </c>
      <c r="B27" s="3" t="s">
        <v>12</v>
      </c>
      <c r="C27" s="4">
        <v>0.29166666666666669</v>
      </c>
      <c r="D27" s="4">
        <v>0.625</v>
      </c>
      <c r="E27" s="3">
        <v>8</v>
      </c>
      <c r="F27" s="5" t="s">
        <v>74</v>
      </c>
      <c r="G27" s="3" t="s">
        <v>53</v>
      </c>
      <c r="H27" s="3" t="s">
        <v>90</v>
      </c>
      <c r="I27" s="3" t="s">
        <v>104</v>
      </c>
      <c r="J27" s="5" t="s">
        <v>5</v>
      </c>
      <c r="K27" s="3" t="s">
        <v>109</v>
      </c>
      <c r="L27" s="3">
        <v>7</v>
      </c>
    </row>
    <row r="28" spans="1:12" x14ac:dyDescent="0.25">
      <c r="A28" s="7">
        <v>43798</v>
      </c>
      <c r="B28" s="3" t="s">
        <v>12</v>
      </c>
      <c r="C28" s="4">
        <v>0.29166666666666669</v>
      </c>
      <c r="D28" s="4">
        <v>0.625</v>
      </c>
      <c r="E28" s="3">
        <v>8</v>
      </c>
      <c r="F28" s="3" t="s">
        <v>78</v>
      </c>
      <c r="G28" s="3" t="s">
        <v>27</v>
      </c>
      <c r="H28" s="3" t="s">
        <v>87</v>
      </c>
      <c r="I28" s="3" t="s">
        <v>114</v>
      </c>
      <c r="J28" s="5" t="s">
        <v>6</v>
      </c>
      <c r="K28" s="3" t="s">
        <v>111</v>
      </c>
      <c r="L28" s="3">
        <v>6</v>
      </c>
    </row>
    <row r="29" spans="1:12" x14ac:dyDescent="0.25">
      <c r="A29" s="7">
        <v>43800</v>
      </c>
      <c r="B29" s="3" t="s">
        <v>12</v>
      </c>
      <c r="C29" s="4">
        <v>0.29166666666666669</v>
      </c>
      <c r="D29" s="4">
        <v>0.54166666666666663</v>
      </c>
      <c r="E29" s="3">
        <v>8</v>
      </c>
      <c r="F29" s="3" t="s">
        <v>80</v>
      </c>
      <c r="G29" s="3" t="s">
        <v>66</v>
      </c>
      <c r="H29" s="3" t="s">
        <v>92</v>
      </c>
      <c r="I29" s="3" t="s">
        <v>110</v>
      </c>
      <c r="J29" s="5" t="s">
        <v>9</v>
      </c>
      <c r="K29" s="3" t="s">
        <v>113</v>
      </c>
      <c r="L29" s="3">
        <v>6</v>
      </c>
    </row>
    <row r="30" spans="1:12" x14ac:dyDescent="0.25">
      <c r="A30" s="7">
        <v>43803</v>
      </c>
      <c r="B30" s="3" t="s">
        <v>12</v>
      </c>
      <c r="C30" s="4">
        <v>0.29166666666666669</v>
      </c>
      <c r="D30" s="4">
        <v>0.625</v>
      </c>
      <c r="E30" s="3">
        <v>8</v>
      </c>
      <c r="F30" s="3" t="s">
        <v>79</v>
      </c>
      <c r="G30" s="3" t="s">
        <v>26</v>
      </c>
      <c r="H30" s="3" t="s">
        <v>93</v>
      </c>
      <c r="I30" s="3" t="s">
        <v>104</v>
      </c>
      <c r="J30" s="5" t="s">
        <v>5</v>
      </c>
      <c r="K30" s="3" t="s">
        <v>115</v>
      </c>
      <c r="L30" s="3">
        <v>6</v>
      </c>
    </row>
    <row r="31" spans="1:12" x14ac:dyDescent="0.25">
      <c r="A31" s="7">
        <v>43813</v>
      </c>
      <c r="B31" s="3" t="s">
        <v>12</v>
      </c>
      <c r="C31" s="4">
        <v>0.29166666666666669</v>
      </c>
      <c r="D31" s="4">
        <v>0.625</v>
      </c>
      <c r="E31" s="3">
        <v>8</v>
      </c>
      <c r="F31" s="5" t="s">
        <v>74</v>
      </c>
      <c r="G31" s="3" t="s">
        <v>67</v>
      </c>
      <c r="H31" s="3" t="s">
        <v>90</v>
      </c>
      <c r="I31" s="3" t="s">
        <v>104</v>
      </c>
      <c r="J31" s="5" t="s">
        <v>5</v>
      </c>
      <c r="K31" s="3" t="s">
        <v>116</v>
      </c>
      <c r="L31" s="3">
        <v>7</v>
      </c>
    </row>
    <row r="32" spans="1:12" x14ac:dyDescent="0.25">
      <c r="A32" s="7">
        <v>43814</v>
      </c>
      <c r="B32" s="3" t="s">
        <v>12</v>
      </c>
      <c r="C32" s="4">
        <v>0.29166666666666669</v>
      </c>
      <c r="D32" s="4">
        <v>0.625</v>
      </c>
      <c r="E32" s="3">
        <v>8</v>
      </c>
      <c r="F32" s="3" t="s">
        <v>78</v>
      </c>
      <c r="G32" s="3" t="s">
        <v>24</v>
      </c>
      <c r="H32" s="3" t="s">
        <v>87</v>
      </c>
      <c r="I32" s="3" t="s">
        <v>114</v>
      </c>
      <c r="J32" s="5" t="s">
        <v>6</v>
      </c>
      <c r="K32" s="3" t="s">
        <v>117</v>
      </c>
      <c r="L32" s="3">
        <v>7</v>
      </c>
    </row>
    <row r="33" spans="1:12" x14ac:dyDescent="0.25">
      <c r="A33" s="7">
        <v>43828</v>
      </c>
      <c r="B33" s="3" t="s">
        <v>12</v>
      </c>
      <c r="C33" s="4">
        <v>0.29166666666666669</v>
      </c>
      <c r="D33" s="4">
        <v>0.625</v>
      </c>
      <c r="E33" s="3">
        <v>8</v>
      </c>
      <c r="F33" s="3" t="s">
        <v>80</v>
      </c>
      <c r="G33" s="3" t="s">
        <v>37</v>
      </c>
      <c r="H33" s="3" t="s">
        <v>92</v>
      </c>
      <c r="I33" s="3" t="s">
        <v>110</v>
      </c>
      <c r="J33" s="5" t="s">
        <v>9</v>
      </c>
      <c r="K33" s="3" t="s">
        <v>118</v>
      </c>
      <c r="L33" s="3">
        <v>7</v>
      </c>
    </row>
    <row r="34" spans="1:12" x14ac:dyDescent="0.25">
      <c r="A34" s="7">
        <v>43828</v>
      </c>
      <c r="B34" s="3" t="s">
        <v>13</v>
      </c>
      <c r="C34" s="4">
        <v>0.625</v>
      </c>
      <c r="D34" s="4">
        <v>0.95833333333333337</v>
      </c>
      <c r="E34" s="3">
        <v>8</v>
      </c>
      <c r="F34" s="3" t="s">
        <v>78</v>
      </c>
      <c r="G34" s="3" t="s">
        <v>24</v>
      </c>
      <c r="H34" s="3" t="s">
        <v>87</v>
      </c>
      <c r="I34" s="3" t="s">
        <v>114</v>
      </c>
      <c r="J34" s="5" t="s">
        <v>6</v>
      </c>
      <c r="K34" s="3" t="s">
        <v>119</v>
      </c>
      <c r="L34" s="3">
        <v>7</v>
      </c>
    </row>
    <row r="35" spans="1:12" x14ac:dyDescent="0.25">
      <c r="A35" s="7">
        <v>43832</v>
      </c>
      <c r="B35" s="3" t="s">
        <v>13</v>
      </c>
      <c r="C35" s="4">
        <v>0.625</v>
      </c>
      <c r="D35" s="4">
        <v>0.95833333333333337</v>
      </c>
      <c r="E35" s="3">
        <v>8</v>
      </c>
      <c r="F35" s="3" t="s">
        <v>79</v>
      </c>
      <c r="G35" s="3" t="s">
        <v>59</v>
      </c>
      <c r="H35" s="3" t="s">
        <v>93</v>
      </c>
      <c r="I35" s="3" t="s">
        <v>104</v>
      </c>
      <c r="J35" s="5" t="s">
        <v>5</v>
      </c>
      <c r="K35" s="3" t="s">
        <v>105</v>
      </c>
      <c r="L35" s="3">
        <v>8</v>
      </c>
    </row>
    <row r="36" spans="1:12" x14ac:dyDescent="0.25">
      <c r="A36" s="7">
        <v>43837</v>
      </c>
      <c r="B36" s="3" t="s">
        <v>13</v>
      </c>
      <c r="C36" s="4">
        <v>0.625</v>
      </c>
      <c r="D36" s="4">
        <v>0.95833333333333337</v>
      </c>
      <c r="E36" s="3">
        <v>8</v>
      </c>
      <c r="F36" s="3" t="s">
        <v>81</v>
      </c>
      <c r="G36" s="3" t="s">
        <v>46</v>
      </c>
      <c r="H36" s="3" t="s">
        <v>88</v>
      </c>
      <c r="I36" s="3" t="s">
        <v>114</v>
      </c>
      <c r="J36" s="5" t="s">
        <v>6</v>
      </c>
      <c r="K36" s="3" t="s">
        <v>106</v>
      </c>
      <c r="L36" s="3">
        <v>9</v>
      </c>
    </row>
    <row r="37" spans="1:12" x14ac:dyDescent="0.25">
      <c r="A37" s="7">
        <v>43855</v>
      </c>
      <c r="B37" s="3" t="s">
        <v>13</v>
      </c>
      <c r="C37" s="4">
        <v>0.625</v>
      </c>
      <c r="D37" s="4">
        <v>0.95833333333333337</v>
      </c>
      <c r="E37" s="3">
        <v>8</v>
      </c>
      <c r="F37" s="3" t="s">
        <v>77</v>
      </c>
      <c r="G37" s="3" t="s">
        <v>36</v>
      </c>
      <c r="H37" s="3" t="s">
        <v>94</v>
      </c>
      <c r="I37" s="3" t="s">
        <v>112</v>
      </c>
      <c r="J37" s="5" t="s">
        <v>7</v>
      </c>
      <c r="K37" s="3" t="s">
        <v>107</v>
      </c>
      <c r="L37" s="3">
        <v>8</v>
      </c>
    </row>
    <row r="38" spans="1:12" x14ac:dyDescent="0.25">
      <c r="A38" s="7">
        <v>43862</v>
      </c>
      <c r="B38" s="3" t="s">
        <v>13</v>
      </c>
      <c r="C38" s="4">
        <v>0.625</v>
      </c>
      <c r="D38" s="4">
        <v>0.95833333333333337</v>
      </c>
      <c r="E38" s="3">
        <v>8</v>
      </c>
      <c r="F38" s="3" t="s">
        <v>76</v>
      </c>
      <c r="G38" s="3" t="s">
        <v>51</v>
      </c>
      <c r="H38" s="3" t="s">
        <v>91</v>
      </c>
      <c r="I38" s="3" t="s">
        <v>120</v>
      </c>
      <c r="J38" s="5" t="s">
        <v>8</v>
      </c>
      <c r="K38" s="3" t="s">
        <v>109</v>
      </c>
      <c r="L38" s="3">
        <v>7</v>
      </c>
    </row>
    <row r="39" spans="1:12" x14ac:dyDescent="0.25">
      <c r="A39" s="7">
        <v>43873</v>
      </c>
      <c r="B39" s="3" t="s">
        <v>13</v>
      </c>
      <c r="C39" s="4">
        <v>0.625</v>
      </c>
      <c r="D39" s="4">
        <v>0.95833333333333337</v>
      </c>
      <c r="E39" s="3">
        <v>8</v>
      </c>
      <c r="F39" s="5" t="s">
        <v>74</v>
      </c>
      <c r="G39" s="3" t="s">
        <v>67</v>
      </c>
      <c r="H39" s="3" t="s">
        <v>90</v>
      </c>
      <c r="I39" s="3" t="s">
        <v>104</v>
      </c>
      <c r="J39" s="5" t="s">
        <v>5</v>
      </c>
      <c r="K39" s="3" t="s">
        <v>111</v>
      </c>
      <c r="L39" s="3">
        <v>9</v>
      </c>
    </row>
    <row r="40" spans="1:12" x14ac:dyDescent="0.25">
      <c r="A40" s="7">
        <v>43889</v>
      </c>
      <c r="B40" s="3" t="s">
        <v>13</v>
      </c>
      <c r="C40" s="4">
        <v>0.625</v>
      </c>
      <c r="D40" s="4">
        <v>0.95833333333333337</v>
      </c>
      <c r="E40" s="3">
        <v>8</v>
      </c>
      <c r="F40" s="3" t="s">
        <v>78</v>
      </c>
      <c r="G40" s="3" t="s">
        <v>69</v>
      </c>
      <c r="H40" s="3" t="s">
        <v>87</v>
      </c>
      <c r="I40" s="3" t="s">
        <v>114</v>
      </c>
      <c r="J40" s="5" t="s">
        <v>6</v>
      </c>
      <c r="K40" s="3" t="s">
        <v>113</v>
      </c>
      <c r="L40" s="3">
        <v>1</v>
      </c>
    </row>
    <row r="41" spans="1:12" x14ac:dyDescent="0.25">
      <c r="A41" s="7">
        <v>43891</v>
      </c>
      <c r="B41" s="3" t="s">
        <v>13</v>
      </c>
      <c r="C41" s="4">
        <v>0.625</v>
      </c>
      <c r="D41" s="4">
        <v>0.95833333333333337</v>
      </c>
      <c r="E41" s="3">
        <v>8</v>
      </c>
      <c r="F41" s="3" t="s">
        <v>75</v>
      </c>
      <c r="G41" s="3" t="s">
        <v>31</v>
      </c>
      <c r="H41" s="3" t="s">
        <v>89</v>
      </c>
      <c r="I41" s="3" t="s">
        <v>112</v>
      </c>
      <c r="J41" s="5" t="s">
        <v>7</v>
      </c>
      <c r="K41" s="3" t="s">
        <v>115</v>
      </c>
      <c r="L41" s="3">
        <v>3</v>
      </c>
    </row>
    <row r="42" spans="1:12" x14ac:dyDescent="0.25">
      <c r="A42" s="7">
        <v>43905</v>
      </c>
      <c r="B42" s="3" t="s">
        <v>13</v>
      </c>
      <c r="C42" s="4">
        <v>0.625</v>
      </c>
      <c r="D42" s="4">
        <v>0.95833333333333337</v>
      </c>
      <c r="E42" s="3">
        <v>8</v>
      </c>
      <c r="F42" s="3" t="s">
        <v>80</v>
      </c>
      <c r="G42" s="3" t="s">
        <v>38</v>
      </c>
      <c r="H42" s="3" t="s">
        <v>92</v>
      </c>
      <c r="I42" s="3" t="s">
        <v>110</v>
      </c>
      <c r="J42" s="5" t="s">
        <v>9</v>
      </c>
      <c r="K42" s="3" t="s">
        <v>116</v>
      </c>
      <c r="L42" s="3">
        <v>6</v>
      </c>
    </row>
    <row r="43" spans="1:12" x14ac:dyDescent="0.25">
      <c r="A43" s="7">
        <v>43908</v>
      </c>
      <c r="B43" s="3" t="s">
        <v>13</v>
      </c>
      <c r="C43" s="4">
        <v>0.625</v>
      </c>
      <c r="D43" s="4">
        <v>0.95833333333333337</v>
      </c>
      <c r="E43" s="3">
        <v>8</v>
      </c>
      <c r="F43" s="3" t="s">
        <v>79</v>
      </c>
      <c r="G43" s="3" t="s">
        <v>26</v>
      </c>
      <c r="H43" s="3" t="s">
        <v>93</v>
      </c>
      <c r="I43" s="3" t="s">
        <v>104</v>
      </c>
      <c r="J43" s="5" t="s">
        <v>5</v>
      </c>
      <c r="K43" s="3" t="s">
        <v>117</v>
      </c>
      <c r="L43" s="3">
        <v>3</v>
      </c>
    </row>
    <row r="44" spans="1:12" x14ac:dyDescent="0.25">
      <c r="A44" s="7">
        <v>43925</v>
      </c>
      <c r="B44" s="3" t="s">
        <v>13</v>
      </c>
      <c r="C44" s="4">
        <v>0.625</v>
      </c>
      <c r="D44" s="4">
        <v>0.95833333333333337</v>
      </c>
      <c r="E44" s="3">
        <v>8</v>
      </c>
      <c r="F44" s="3" t="s">
        <v>76</v>
      </c>
      <c r="G44" s="3" t="s">
        <v>40</v>
      </c>
      <c r="H44" s="3" t="s">
        <v>91</v>
      </c>
      <c r="I44" s="3" t="s">
        <v>120</v>
      </c>
      <c r="J44" s="5" t="s">
        <v>8</v>
      </c>
      <c r="K44" s="3" t="s">
        <v>118</v>
      </c>
      <c r="L44" s="3">
        <v>8</v>
      </c>
    </row>
    <row r="45" spans="1:12" x14ac:dyDescent="0.25">
      <c r="A45" s="7">
        <v>43945</v>
      </c>
      <c r="B45" s="3" t="s">
        <v>13</v>
      </c>
      <c r="C45" s="4">
        <v>0.625</v>
      </c>
      <c r="D45" s="4">
        <v>0.95833333333333337</v>
      </c>
      <c r="E45" s="3">
        <v>8</v>
      </c>
      <c r="F45" s="3" t="s">
        <v>79</v>
      </c>
      <c r="G45" s="3" t="s">
        <v>63</v>
      </c>
      <c r="H45" s="3" t="s">
        <v>93</v>
      </c>
      <c r="I45" s="3" t="s">
        <v>104</v>
      </c>
      <c r="J45" s="5" t="s">
        <v>5</v>
      </c>
      <c r="K45" s="3" t="s">
        <v>119</v>
      </c>
      <c r="L45" s="3">
        <v>4</v>
      </c>
    </row>
    <row r="46" spans="1:12" x14ac:dyDescent="0.25">
      <c r="A46" s="7">
        <v>43945</v>
      </c>
      <c r="B46" s="3" t="s">
        <v>13</v>
      </c>
      <c r="C46" s="4">
        <v>0.625</v>
      </c>
      <c r="D46" s="4">
        <v>0.95833333333333337</v>
      </c>
      <c r="E46" s="3">
        <v>8</v>
      </c>
      <c r="F46" s="3" t="s">
        <v>75</v>
      </c>
      <c r="G46" s="3" t="s">
        <v>61</v>
      </c>
      <c r="H46" s="3" t="s">
        <v>89</v>
      </c>
      <c r="I46" s="3" t="s">
        <v>112</v>
      </c>
      <c r="J46" s="5" t="s">
        <v>7</v>
      </c>
      <c r="K46" s="3" t="s">
        <v>105</v>
      </c>
      <c r="L46" s="3">
        <v>5</v>
      </c>
    </row>
    <row r="47" spans="1:12" x14ac:dyDescent="0.25">
      <c r="A47" s="7">
        <v>43952</v>
      </c>
      <c r="B47" s="3" t="s">
        <v>13</v>
      </c>
      <c r="C47" s="4">
        <v>0.625</v>
      </c>
      <c r="D47" s="4">
        <v>0.95833333333333337</v>
      </c>
      <c r="E47" s="3">
        <v>8</v>
      </c>
      <c r="F47" s="3" t="s">
        <v>76</v>
      </c>
      <c r="G47" s="3" t="s">
        <v>54</v>
      </c>
      <c r="H47" s="3" t="s">
        <v>91</v>
      </c>
      <c r="I47" s="3" t="s">
        <v>120</v>
      </c>
      <c r="J47" s="5" t="s">
        <v>8</v>
      </c>
      <c r="K47" s="3" t="s">
        <v>106</v>
      </c>
      <c r="L47" s="3">
        <v>6</v>
      </c>
    </row>
    <row r="48" spans="1:12" x14ac:dyDescent="0.25">
      <c r="A48" s="7">
        <v>43966</v>
      </c>
      <c r="B48" s="3" t="s">
        <v>13</v>
      </c>
      <c r="C48" s="4">
        <v>0.625</v>
      </c>
      <c r="D48" s="4">
        <v>0.95833333333333337</v>
      </c>
      <c r="E48" s="3">
        <v>8</v>
      </c>
      <c r="F48" s="3" t="s">
        <v>81</v>
      </c>
      <c r="G48" s="3" t="s">
        <v>60</v>
      </c>
      <c r="H48" s="3" t="s">
        <v>88</v>
      </c>
      <c r="I48" s="3" t="s">
        <v>114</v>
      </c>
      <c r="J48" s="5" t="s">
        <v>6</v>
      </c>
      <c r="K48" s="3" t="s">
        <v>107</v>
      </c>
      <c r="L48" s="3">
        <v>4</v>
      </c>
    </row>
    <row r="49" spans="1:12" x14ac:dyDescent="0.25">
      <c r="A49" s="7">
        <v>43976</v>
      </c>
      <c r="B49" s="3" t="s">
        <v>12</v>
      </c>
      <c r="C49" s="4">
        <v>0.29166666666666669</v>
      </c>
      <c r="D49" s="4">
        <v>0.625</v>
      </c>
      <c r="E49" s="3">
        <v>8</v>
      </c>
      <c r="F49" s="5" t="s">
        <v>74</v>
      </c>
      <c r="G49" s="3" t="s">
        <v>52</v>
      </c>
      <c r="H49" s="3" t="s">
        <v>90</v>
      </c>
      <c r="I49" s="3" t="s">
        <v>104</v>
      </c>
      <c r="J49" s="5" t="s">
        <v>5</v>
      </c>
      <c r="K49" s="3" t="s">
        <v>109</v>
      </c>
      <c r="L49" s="3">
        <v>6</v>
      </c>
    </row>
    <row r="50" spans="1:12" x14ac:dyDescent="0.25">
      <c r="A50" s="7">
        <v>43983</v>
      </c>
      <c r="B50" s="3" t="s">
        <v>13</v>
      </c>
      <c r="C50" s="4">
        <v>0.625</v>
      </c>
      <c r="D50" s="4">
        <v>0.95833333333333337</v>
      </c>
      <c r="E50" s="3">
        <v>8</v>
      </c>
      <c r="F50" s="3" t="s">
        <v>80</v>
      </c>
      <c r="G50" s="3" t="s">
        <v>70</v>
      </c>
      <c r="H50" s="3" t="s">
        <v>92</v>
      </c>
      <c r="I50" s="3" t="s">
        <v>110</v>
      </c>
      <c r="J50" s="5" t="s">
        <v>9</v>
      </c>
      <c r="K50" s="3" t="s">
        <v>111</v>
      </c>
      <c r="L50" s="3">
        <v>5</v>
      </c>
    </row>
    <row r="51" spans="1:12" x14ac:dyDescent="0.25">
      <c r="A51" s="7">
        <v>43983</v>
      </c>
      <c r="B51" s="3" t="s">
        <v>12</v>
      </c>
      <c r="C51" s="4">
        <v>0.29166666666666669</v>
      </c>
      <c r="D51" s="4">
        <v>0.625</v>
      </c>
      <c r="E51" s="3">
        <v>8</v>
      </c>
      <c r="F51" s="5" t="s">
        <v>74</v>
      </c>
      <c r="G51" s="3" t="s">
        <v>53</v>
      </c>
      <c r="H51" s="3" t="s">
        <v>90</v>
      </c>
      <c r="I51" s="3" t="s">
        <v>104</v>
      </c>
      <c r="J51" s="5" t="s">
        <v>5</v>
      </c>
      <c r="K51" s="3" t="s">
        <v>113</v>
      </c>
      <c r="L51" s="3">
        <v>6</v>
      </c>
    </row>
    <row r="52" spans="1:12" x14ac:dyDescent="0.25">
      <c r="A52" s="7">
        <v>44012</v>
      </c>
      <c r="B52" s="3" t="s">
        <v>12</v>
      </c>
      <c r="C52" s="4">
        <v>0.29166666666666669</v>
      </c>
      <c r="D52" s="4">
        <v>0.625</v>
      </c>
      <c r="E52" s="3">
        <v>8</v>
      </c>
      <c r="F52" s="3" t="s">
        <v>78</v>
      </c>
      <c r="G52" s="3" t="s">
        <v>69</v>
      </c>
      <c r="H52" s="3" t="s">
        <v>87</v>
      </c>
      <c r="I52" s="3" t="s">
        <v>114</v>
      </c>
      <c r="J52" s="5" t="s">
        <v>6</v>
      </c>
      <c r="K52" s="3" t="s">
        <v>115</v>
      </c>
      <c r="L52" s="3">
        <v>6</v>
      </c>
    </row>
    <row r="53" spans="1:12" x14ac:dyDescent="0.25">
      <c r="A53" s="7">
        <v>44013</v>
      </c>
      <c r="B53" s="3" t="s">
        <v>12</v>
      </c>
      <c r="C53" s="4">
        <v>0.29166666666666669</v>
      </c>
      <c r="D53" s="4">
        <v>0.625</v>
      </c>
      <c r="E53" s="3">
        <v>8</v>
      </c>
      <c r="F53" s="3" t="s">
        <v>79</v>
      </c>
      <c r="G53" s="3" t="s">
        <v>57</v>
      </c>
      <c r="H53" s="3" t="s">
        <v>93</v>
      </c>
      <c r="I53" s="3" t="s">
        <v>104</v>
      </c>
      <c r="J53" s="5" t="s">
        <v>5</v>
      </c>
      <c r="K53" s="3" t="s">
        <v>116</v>
      </c>
      <c r="L53" s="3">
        <v>7</v>
      </c>
    </row>
    <row r="54" spans="1:12" x14ac:dyDescent="0.25">
      <c r="A54" s="7">
        <v>44029</v>
      </c>
      <c r="B54" s="3" t="s">
        <v>13</v>
      </c>
      <c r="C54" s="4">
        <v>0.625</v>
      </c>
      <c r="D54" s="4">
        <v>0.95833333333333337</v>
      </c>
      <c r="E54" s="3">
        <v>8</v>
      </c>
      <c r="F54" s="3" t="s">
        <v>77</v>
      </c>
      <c r="G54" s="3" t="s">
        <v>47</v>
      </c>
      <c r="H54" s="3" t="s">
        <v>94</v>
      </c>
      <c r="I54" s="3" t="s">
        <v>112</v>
      </c>
      <c r="J54" s="5" t="s">
        <v>7</v>
      </c>
      <c r="K54" s="3" t="s">
        <v>117</v>
      </c>
      <c r="L54" s="3">
        <v>7</v>
      </c>
    </row>
    <row r="55" spans="1:12" x14ac:dyDescent="0.25">
      <c r="A55" s="7">
        <v>44039</v>
      </c>
      <c r="B55" s="3" t="s">
        <v>13</v>
      </c>
      <c r="C55" s="4">
        <v>0.625</v>
      </c>
      <c r="D55" s="4">
        <v>0.95833333333333337</v>
      </c>
      <c r="E55" s="3">
        <v>8</v>
      </c>
      <c r="F55" s="3" t="s">
        <v>75</v>
      </c>
      <c r="G55" s="3" t="s">
        <v>28</v>
      </c>
      <c r="H55" s="3" t="s">
        <v>89</v>
      </c>
      <c r="I55" s="3" t="s">
        <v>112</v>
      </c>
      <c r="J55" s="5" t="s">
        <v>7</v>
      </c>
      <c r="K55" s="3" t="s">
        <v>118</v>
      </c>
      <c r="L55" s="3">
        <v>5</v>
      </c>
    </row>
    <row r="56" spans="1:12" x14ac:dyDescent="0.25">
      <c r="A56" s="7">
        <v>44054</v>
      </c>
      <c r="B56" s="3" t="s">
        <v>13</v>
      </c>
      <c r="C56" s="4">
        <v>0.625</v>
      </c>
      <c r="D56" s="4">
        <v>0.95833333333333337</v>
      </c>
      <c r="E56" s="3">
        <v>8</v>
      </c>
      <c r="F56" s="3" t="s">
        <v>81</v>
      </c>
      <c r="G56" s="3" t="s">
        <v>60</v>
      </c>
      <c r="H56" s="3" t="s">
        <v>88</v>
      </c>
      <c r="I56" s="3" t="s">
        <v>114</v>
      </c>
      <c r="J56" s="5" t="s">
        <v>6</v>
      </c>
      <c r="K56" s="3" t="s">
        <v>119</v>
      </c>
      <c r="L56" s="3">
        <v>5</v>
      </c>
    </row>
    <row r="57" spans="1:12" x14ac:dyDescent="0.25">
      <c r="A57" s="7">
        <v>44071</v>
      </c>
      <c r="B57" s="3" t="s">
        <v>13</v>
      </c>
      <c r="C57" s="4">
        <v>0.625</v>
      </c>
      <c r="D57" s="4">
        <v>0.95833333333333337</v>
      </c>
      <c r="E57" s="3">
        <v>8</v>
      </c>
      <c r="F57" s="3" t="s">
        <v>76</v>
      </c>
      <c r="G57" s="3" t="s">
        <v>56</v>
      </c>
      <c r="H57" s="3" t="s">
        <v>91</v>
      </c>
      <c r="I57" s="3" t="s">
        <v>120</v>
      </c>
      <c r="J57" s="5" t="s">
        <v>8</v>
      </c>
      <c r="K57" s="3" t="s">
        <v>121</v>
      </c>
      <c r="L57" s="3">
        <v>5</v>
      </c>
    </row>
    <row r="58" spans="1:12" x14ac:dyDescent="0.25">
      <c r="A58" s="7">
        <v>44075</v>
      </c>
      <c r="B58" s="3" t="s">
        <v>12</v>
      </c>
      <c r="C58" s="4">
        <v>0.29166666666666669</v>
      </c>
      <c r="D58" s="4">
        <v>0.625</v>
      </c>
      <c r="E58" s="3">
        <v>8</v>
      </c>
      <c r="F58" s="3" t="s">
        <v>75</v>
      </c>
      <c r="G58" s="3" t="s">
        <v>20</v>
      </c>
      <c r="H58" s="3" t="s">
        <v>89</v>
      </c>
      <c r="I58" s="3" t="s">
        <v>112</v>
      </c>
      <c r="J58" s="5" t="s">
        <v>7</v>
      </c>
      <c r="K58" s="3" t="s">
        <v>105</v>
      </c>
      <c r="L58" s="3">
        <v>4</v>
      </c>
    </row>
    <row r="59" spans="1:12" x14ac:dyDescent="0.25">
      <c r="A59" s="7">
        <v>43906</v>
      </c>
      <c r="B59" s="3" t="s">
        <v>12</v>
      </c>
      <c r="C59" s="4">
        <v>0.29166666666666669</v>
      </c>
      <c r="D59" s="4">
        <v>0.625</v>
      </c>
      <c r="E59" s="3">
        <v>8</v>
      </c>
      <c r="F59" s="3" t="s">
        <v>81</v>
      </c>
      <c r="G59" s="3" t="s">
        <v>32</v>
      </c>
      <c r="H59" s="3" t="s">
        <v>88</v>
      </c>
      <c r="I59" s="3" t="s">
        <v>114</v>
      </c>
      <c r="J59" s="5" t="s">
        <v>6</v>
      </c>
      <c r="K59" s="3" t="s">
        <v>106</v>
      </c>
      <c r="L59" s="3">
        <v>4</v>
      </c>
    </row>
    <row r="60" spans="1:12" x14ac:dyDescent="0.25">
      <c r="A60" s="7">
        <v>44105</v>
      </c>
      <c r="B60" s="3" t="s">
        <v>12</v>
      </c>
      <c r="C60" s="4">
        <v>0.29166666666666669</v>
      </c>
      <c r="D60" s="4">
        <v>0.625</v>
      </c>
      <c r="E60" s="3">
        <v>8</v>
      </c>
      <c r="F60" s="3" t="s">
        <v>80</v>
      </c>
      <c r="G60" s="3" t="s">
        <v>70</v>
      </c>
      <c r="H60" s="3" t="s">
        <v>92</v>
      </c>
      <c r="I60" s="3" t="s">
        <v>110</v>
      </c>
      <c r="J60" s="5" t="s">
        <v>9</v>
      </c>
      <c r="K60" s="3" t="s">
        <v>107</v>
      </c>
      <c r="L60" s="3">
        <v>4</v>
      </c>
    </row>
    <row r="61" spans="1:12" x14ac:dyDescent="0.25">
      <c r="A61" s="7">
        <v>44115</v>
      </c>
      <c r="B61" s="3" t="s">
        <v>13</v>
      </c>
      <c r="C61" s="4">
        <v>0.625</v>
      </c>
      <c r="D61" s="4">
        <v>0.95833333333333337</v>
      </c>
      <c r="E61" s="3">
        <v>8</v>
      </c>
      <c r="F61" s="5" t="s">
        <v>74</v>
      </c>
      <c r="G61" s="3" t="s">
        <v>58</v>
      </c>
      <c r="H61" s="3" t="s">
        <v>90</v>
      </c>
      <c r="I61" s="3" t="s">
        <v>104</v>
      </c>
      <c r="J61" s="5" t="s">
        <v>5</v>
      </c>
      <c r="K61" s="3" t="s">
        <v>109</v>
      </c>
      <c r="L61" s="3">
        <v>4</v>
      </c>
    </row>
    <row r="62" spans="1:12" x14ac:dyDescent="0.25">
      <c r="A62" s="7">
        <v>44125</v>
      </c>
      <c r="B62" s="3" t="s">
        <v>12</v>
      </c>
      <c r="C62" s="4">
        <v>0.29166666666666669</v>
      </c>
      <c r="D62" s="4">
        <v>0.625</v>
      </c>
      <c r="E62" s="3">
        <v>8</v>
      </c>
      <c r="F62" s="3" t="s">
        <v>77</v>
      </c>
      <c r="G62" s="3" t="s">
        <v>17</v>
      </c>
      <c r="H62" s="3" t="s">
        <v>94</v>
      </c>
      <c r="I62" s="3" t="s">
        <v>112</v>
      </c>
      <c r="J62" s="5" t="s">
        <v>7</v>
      </c>
      <c r="K62" s="3" t="s">
        <v>111</v>
      </c>
      <c r="L62" s="3">
        <v>4</v>
      </c>
    </row>
    <row r="63" spans="1:12" x14ac:dyDescent="0.25">
      <c r="A63" s="7">
        <v>44164</v>
      </c>
      <c r="B63" s="3" t="s">
        <v>13</v>
      </c>
      <c r="C63" s="4">
        <v>0.625</v>
      </c>
      <c r="D63" s="4">
        <v>0.95833333333333337</v>
      </c>
      <c r="E63" s="3">
        <v>8</v>
      </c>
      <c r="F63" s="3" t="s">
        <v>80</v>
      </c>
      <c r="G63" s="3" t="s">
        <v>49</v>
      </c>
      <c r="H63" s="3" t="s">
        <v>92</v>
      </c>
      <c r="I63" s="3" t="s">
        <v>110</v>
      </c>
      <c r="J63" s="5" t="s">
        <v>9</v>
      </c>
      <c r="K63" s="3" t="s">
        <v>113</v>
      </c>
      <c r="L63" s="3">
        <v>6</v>
      </c>
    </row>
    <row r="64" spans="1:12" x14ac:dyDescent="0.25">
      <c r="A64" s="7">
        <v>44194</v>
      </c>
      <c r="B64" s="3" t="s">
        <v>13</v>
      </c>
      <c r="C64" s="4">
        <v>0.625</v>
      </c>
      <c r="D64" s="4">
        <v>0.95833333333333337</v>
      </c>
      <c r="E64" s="3">
        <v>8</v>
      </c>
      <c r="F64" s="3" t="s">
        <v>81</v>
      </c>
      <c r="G64" s="3" t="s">
        <v>46</v>
      </c>
      <c r="H64" s="3" t="s">
        <v>88</v>
      </c>
      <c r="I64" s="3" t="s">
        <v>114</v>
      </c>
      <c r="J64" s="5" t="s">
        <v>6</v>
      </c>
      <c r="K64" s="3" t="s">
        <v>115</v>
      </c>
      <c r="L64" s="3">
        <v>7</v>
      </c>
    </row>
    <row r="65" spans="1:12" x14ac:dyDescent="0.25">
      <c r="A65" s="7">
        <v>44195</v>
      </c>
      <c r="B65" s="3" t="s">
        <v>13</v>
      </c>
      <c r="C65" s="4">
        <v>0.625</v>
      </c>
      <c r="D65" s="4">
        <v>0.95833333333333337</v>
      </c>
      <c r="E65" s="3">
        <v>8</v>
      </c>
      <c r="F65" s="3" t="s">
        <v>76</v>
      </c>
      <c r="G65" s="3" t="s">
        <v>40</v>
      </c>
      <c r="H65" s="3" t="s">
        <v>91</v>
      </c>
      <c r="I65" s="3" t="s">
        <v>120</v>
      </c>
      <c r="J65" s="5" t="s">
        <v>8</v>
      </c>
      <c r="K65" s="3" t="s">
        <v>116</v>
      </c>
      <c r="L65" s="3">
        <v>6</v>
      </c>
    </row>
    <row r="66" spans="1:12" x14ac:dyDescent="0.25">
      <c r="A66" s="7">
        <v>44196</v>
      </c>
      <c r="B66" s="3" t="s">
        <v>13</v>
      </c>
      <c r="C66" s="4">
        <v>0.625</v>
      </c>
      <c r="D66" s="4">
        <v>0.95833333333333337</v>
      </c>
      <c r="E66" s="3">
        <v>8</v>
      </c>
      <c r="F66" s="3" t="s">
        <v>79</v>
      </c>
      <c r="G66" s="3" t="s">
        <v>57</v>
      </c>
      <c r="H66" s="3" t="s">
        <v>93</v>
      </c>
      <c r="I66" s="3" t="s">
        <v>104</v>
      </c>
      <c r="J66" s="5" t="s">
        <v>5</v>
      </c>
      <c r="K66" s="3" t="s">
        <v>117</v>
      </c>
      <c r="L66" s="3">
        <v>7</v>
      </c>
    </row>
    <row r="67" spans="1:12" x14ac:dyDescent="0.25">
      <c r="A67" s="7">
        <v>44208</v>
      </c>
      <c r="B67" s="3" t="s">
        <v>13</v>
      </c>
      <c r="C67" s="4">
        <v>0.625</v>
      </c>
      <c r="D67" s="4">
        <v>0.95833333333333337</v>
      </c>
      <c r="E67" s="3">
        <v>8</v>
      </c>
      <c r="F67" s="3" t="s">
        <v>75</v>
      </c>
      <c r="G67" s="3" t="s">
        <v>16</v>
      </c>
      <c r="H67" s="3" t="s">
        <v>89</v>
      </c>
      <c r="I67" s="3" t="s">
        <v>112</v>
      </c>
      <c r="J67" s="5" t="s">
        <v>7</v>
      </c>
      <c r="K67" s="3" t="s">
        <v>118</v>
      </c>
      <c r="L67" s="3">
        <v>9</v>
      </c>
    </row>
    <row r="68" spans="1:12" x14ac:dyDescent="0.25">
      <c r="A68" s="7">
        <v>44203</v>
      </c>
      <c r="B68" s="3" t="s">
        <v>13</v>
      </c>
      <c r="C68" s="4">
        <v>0.625</v>
      </c>
      <c r="D68" s="4">
        <v>0.95833333333333337</v>
      </c>
      <c r="E68" s="3">
        <v>8</v>
      </c>
      <c r="F68" s="3" t="s">
        <v>80</v>
      </c>
      <c r="G68" s="3" t="s">
        <v>66</v>
      </c>
      <c r="H68" s="3" t="s">
        <v>92</v>
      </c>
      <c r="I68" s="3" t="s">
        <v>110</v>
      </c>
      <c r="J68" s="5" t="s">
        <v>9</v>
      </c>
      <c r="K68" s="3" t="s">
        <v>119</v>
      </c>
      <c r="L68" s="3">
        <v>9</v>
      </c>
    </row>
    <row r="69" spans="1:12" x14ac:dyDescent="0.25">
      <c r="A69" s="7">
        <v>44216</v>
      </c>
      <c r="B69" s="3" t="s">
        <v>12</v>
      </c>
      <c r="C69" s="4">
        <v>0.29166666666666669</v>
      </c>
      <c r="D69" s="4">
        <v>0.625</v>
      </c>
      <c r="E69" s="3">
        <v>8</v>
      </c>
      <c r="F69" s="3" t="s">
        <v>76</v>
      </c>
      <c r="G69" s="3" t="s">
        <v>25</v>
      </c>
      <c r="H69" s="3" t="s">
        <v>91</v>
      </c>
      <c r="I69" s="3" t="s">
        <v>120</v>
      </c>
      <c r="J69" s="5" t="s">
        <v>8</v>
      </c>
      <c r="K69" s="3" t="s">
        <v>121</v>
      </c>
      <c r="L69" s="3">
        <v>9</v>
      </c>
    </row>
    <row r="70" spans="1:12" x14ac:dyDescent="0.25">
      <c r="A70" s="7">
        <v>44228</v>
      </c>
      <c r="B70" s="3" t="s">
        <v>13</v>
      </c>
      <c r="C70" s="4">
        <v>0.625</v>
      </c>
      <c r="D70" s="4">
        <v>0.95833333333333337</v>
      </c>
      <c r="E70" s="3">
        <v>8</v>
      </c>
      <c r="F70" s="3" t="s">
        <v>79</v>
      </c>
      <c r="G70" s="3" t="s">
        <v>63</v>
      </c>
      <c r="H70" s="3" t="s">
        <v>93</v>
      </c>
      <c r="I70" s="3" t="s">
        <v>104</v>
      </c>
      <c r="J70" s="5" t="s">
        <v>5</v>
      </c>
      <c r="K70" s="3" t="s">
        <v>105</v>
      </c>
      <c r="L70" s="3">
        <v>10</v>
      </c>
    </row>
    <row r="71" spans="1:12" x14ac:dyDescent="0.25">
      <c r="A71" s="7">
        <v>44228</v>
      </c>
      <c r="B71" s="3" t="s">
        <v>12</v>
      </c>
      <c r="C71" s="4">
        <v>0.29166666666666669</v>
      </c>
      <c r="D71" s="4">
        <v>0.58333333333333337</v>
      </c>
      <c r="E71" s="3">
        <v>8</v>
      </c>
      <c r="F71" s="3" t="s">
        <v>79</v>
      </c>
      <c r="G71" s="3" t="s">
        <v>41</v>
      </c>
      <c r="H71" s="3" t="s">
        <v>93</v>
      </c>
      <c r="I71" s="3" t="s">
        <v>104</v>
      </c>
      <c r="J71" s="5" t="s">
        <v>5</v>
      </c>
      <c r="K71" s="3" t="s">
        <v>106</v>
      </c>
      <c r="L71" s="3">
        <v>8</v>
      </c>
    </row>
    <row r="72" spans="1:12" x14ac:dyDescent="0.25">
      <c r="A72" s="7">
        <v>44242</v>
      </c>
      <c r="B72" s="3" t="s">
        <v>12</v>
      </c>
      <c r="C72" s="4">
        <v>0.29166666666666669</v>
      </c>
      <c r="D72" s="4">
        <v>0.625</v>
      </c>
      <c r="E72" s="3">
        <v>8</v>
      </c>
      <c r="F72" s="3" t="s">
        <v>78</v>
      </c>
      <c r="G72" s="3" t="s">
        <v>39</v>
      </c>
      <c r="H72" s="3" t="s">
        <v>87</v>
      </c>
      <c r="I72" s="3" t="s">
        <v>114</v>
      </c>
      <c r="J72" s="5" t="s">
        <v>6</v>
      </c>
      <c r="K72" s="3" t="s">
        <v>107</v>
      </c>
      <c r="L72" s="3">
        <v>6</v>
      </c>
    </row>
    <row r="73" spans="1:12" x14ac:dyDescent="0.25">
      <c r="A73" s="7">
        <v>44253</v>
      </c>
      <c r="B73" s="3" t="s">
        <v>13</v>
      </c>
      <c r="C73" s="4">
        <v>0.625</v>
      </c>
      <c r="D73" s="4">
        <v>0.875</v>
      </c>
      <c r="E73" s="3">
        <v>8</v>
      </c>
      <c r="F73" s="5" t="s">
        <v>74</v>
      </c>
      <c r="G73" s="3" t="s">
        <v>19</v>
      </c>
      <c r="H73" s="3" t="s">
        <v>90</v>
      </c>
      <c r="I73" s="3" t="s">
        <v>104</v>
      </c>
      <c r="J73" s="5" t="s">
        <v>5</v>
      </c>
      <c r="K73" s="3" t="s">
        <v>109</v>
      </c>
      <c r="L73" s="3">
        <v>7</v>
      </c>
    </row>
    <row r="74" spans="1:12" x14ac:dyDescent="0.25">
      <c r="A74" s="7">
        <v>44256</v>
      </c>
      <c r="B74" s="3" t="s">
        <v>13</v>
      </c>
      <c r="C74" s="4">
        <v>0.625</v>
      </c>
      <c r="D74" s="4">
        <v>0.95833333333333337</v>
      </c>
      <c r="E74" s="3">
        <v>8</v>
      </c>
      <c r="F74" s="3" t="s">
        <v>81</v>
      </c>
      <c r="G74" s="3" t="s">
        <v>45</v>
      </c>
      <c r="H74" s="3" t="s">
        <v>88</v>
      </c>
      <c r="I74" s="3" t="s">
        <v>114</v>
      </c>
      <c r="J74" s="5" t="s">
        <v>6</v>
      </c>
      <c r="K74" s="3" t="s">
        <v>111</v>
      </c>
      <c r="L74" s="3">
        <v>9</v>
      </c>
    </row>
    <row r="75" spans="1:12" x14ac:dyDescent="0.25">
      <c r="A75" s="7">
        <v>44256</v>
      </c>
      <c r="B75" s="3" t="s">
        <v>13</v>
      </c>
      <c r="C75" s="4">
        <v>0.625</v>
      </c>
      <c r="D75" s="4">
        <v>0.91666666666666663</v>
      </c>
      <c r="E75" s="3">
        <v>8</v>
      </c>
      <c r="F75" s="5" t="s">
        <v>74</v>
      </c>
      <c r="G75" s="3" t="s">
        <v>58</v>
      </c>
      <c r="H75" s="3" t="s">
        <v>90</v>
      </c>
      <c r="I75" s="3" t="s">
        <v>104</v>
      </c>
      <c r="J75" s="5" t="s">
        <v>5</v>
      </c>
      <c r="K75" s="3" t="s">
        <v>113</v>
      </c>
      <c r="L75" s="3">
        <v>6</v>
      </c>
    </row>
    <row r="76" spans="1:12" x14ac:dyDescent="0.25">
      <c r="A76" s="7">
        <v>44256</v>
      </c>
      <c r="B76" s="3" t="s">
        <v>12</v>
      </c>
      <c r="C76" s="4">
        <v>0.29166666666666669</v>
      </c>
      <c r="D76" s="4">
        <v>0.625</v>
      </c>
      <c r="E76" s="3">
        <v>8</v>
      </c>
      <c r="F76" s="3" t="s">
        <v>80</v>
      </c>
      <c r="G76" s="3" t="s">
        <v>50</v>
      </c>
      <c r="H76" s="3" t="s">
        <v>92</v>
      </c>
      <c r="I76" s="3" t="s">
        <v>110</v>
      </c>
      <c r="J76" s="5" t="s">
        <v>9</v>
      </c>
      <c r="K76" s="3" t="s">
        <v>115</v>
      </c>
      <c r="L76" s="3">
        <v>7</v>
      </c>
    </row>
    <row r="77" spans="1:12" x14ac:dyDescent="0.25">
      <c r="A77" s="7">
        <v>44287</v>
      </c>
      <c r="B77" s="3" t="s">
        <v>13</v>
      </c>
      <c r="C77" s="4">
        <v>0.625</v>
      </c>
      <c r="D77" s="4">
        <v>0.95833333333333337</v>
      </c>
      <c r="E77" s="3">
        <v>8</v>
      </c>
      <c r="F77" s="3" t="s">
        <v>76</v>
      </c>
      <c r="G77" s="3" t="s">
        <v>51</v>
      </c>
      <c r="H77" s="3" t="s">
        <v>91</v>
      </c>
      <c r="I77" s="3" t="s">
        <v>120</v>
      </c>
      <c r="J77" s="5" t="s">
        <v>8</v>
      </c>
      <c r="K77" s="3" t="s">
        <v>116</v>
      </c>
      <c r="L77" s="3">
        <v>9</v>
      </c>
    </row>
    <row r="78" spans="1:12" x14ac:dyDescent="0.25">
      <c r="A78" s="7">
        <v>44294</v>
      </c>
      <c r="B78" s="3" t="s">
        <v>12</v>
      </c>
      <c r="C78" s="4">
        <v>0.29166666666666669</v>
      </c>
      <c r="D78" s="4">
        <v>0.625</v>
      </c>
      <c r="E78" s="3">
        <v>8</v>
      </c>
      <c r="F78" s="3" t="s">
        <v>79</v>
      </c>
      <c r="G78" s="3" t="s">
        <v>41</v>
      </c>
      <c r="H78" s="3" t="s">
        <v>93</v>
      </c>
      <c r="I78" s="3" t="s">
        <v>104</v>
      </c>
      <c r="J78" s="5" t="s">
        <v>5</v>
      </c>
      <c r="K78" s="3" t="s">
        <v>117</v>
      </c>
      <c r="L78" s="3">
        <v>8</v>
      </c>
    </row>
    <row r="79" spans="1:12" x14ac:dyDescent="0.25">
      <c r="A79" s="7">
        <v>44306</v>
      </c>
      <c r="B79" s="3" t="s">
        <v>13</v>
      </c>
      <c r="C79" s="4">
        <v>0.625</v>
      </c>
      <c r="D79" s="4">
        <v>0.95833333333333337</v>
      </c>
      <c r="E79" s="3">
        <v>8</v>
      </c>
      <c r="F79" s="3" t="s">
        <v>78</v>
      </c>
      <c r="G79" s="3" t="s">
        <v>23</v>
      </c>
      <c r="H79" s="3" t="s">
        <v>87</v>
      </c>
      <c r="I79" s="3" t="s">
        <v>114</v>
      </c>
      <c r="J79" s="5" t="s">
        <v>6</v>
      </c>
      <c r="K79" s="3" t="s">
        <v>118</v>
      </c>
      <c r="L79" s="3">
        <v>8</v>
      </c>
    </row>
    <row r="80" spans="1:12" x14ac:dyDescent="0.25">
      <c r="A80" s="7">
        <v>44317</v>
      </c>
      <c r="B80" s="3" t="s">
        <v>12</v>
      </c>
      <c r="C80" s="4">
        <v>0.29166666666666669</v>
      </c>
      <c r="D80" s="4">
        <v>0.625</v>
      </c>
      <c r="E80" s="3">
        <v>8</v>
      </c>
      <c r="F80" s="3" t="s">
        <v>77</v>
      </c>
      <c r="G80" s="3" t="s">
        <v>42</v>
      </c>
      <c r="H80" s="3" t="s">
        <v>94</v>
      </c>
      <c r="I80" s="3" t="s">
        <v>112</v>
      </c>
      <c r="J80" s="5" t="s">
        <v>7</v>
      </c>
      <c r="K80" s="3" t="s">
        <v>119</v>
      </c>
      <c r="L80" s="3">
        <v>7</v>
      </c>
    </row>
    <row r="81" spans="1:12" x14ac:dyDescent="0.25">
      <c r="A81" s="7">
        <v>44331</v>
      </c>
      <c r="B81" s="3" t="s">
        <v>12</v>
      </c>
      <c r="C81" s="4">
        <v>0.29166666666666669</v>
      </c>
      <c r="D81" s="4">
        <v>0.625</v>
      </c>
      <c r="E81" s="3">
        <v>8</v>
      </c>
      <c r="F81" s="3" t="s">
        <v>80</v>
      </c>
      <c r="G81" s="3" t="s">
        <v>22</v>
      </c>
      <c r="H81" s="3" t="s">
        <v>92</v>
      </c>
      <c r="I81" s="3" t="s">
        <v>110</v>
      </c>
      <c r="J81" s="5" t="s">
        <v>9</v>
      </c>
      <c r="K81" s="3" t="s">
        <v>121</v>
      </c>
      <c r="L81" s="3">
        <v>6</v>
      </c>
    </row>
    <row r="82" spans="1:12" x14ac:dyDescent="0.25">
      <c r="A82" s="7">
        <v>44331</v>
      </c>
      <c r="B82" s="3" t="s">
        <v>12</v>
      </c>
      <c r="C82" s="4">
        <v>0.29166666666666669</v>
      </c>
      <c r="D82" s="4">
        <v>0.625</v>
      </c>
      <c r="E82" s="3">
        <v>8</v>
      </c>
      <c r="F82" s="3" t="s">
        <v>77</v>
      </c>
      <c r="G82" s="3" t="s">
        <v>36</v>
      </c>
      <c r="H82" s="3" t="s">
        <v>94</v>
      </c>
      <c r="I82" s="3" t="s">
        <v>112</v>
      </c>
      <c r="J82" s="5" t="s">
        <v>7</v>
      </c>
      <c r="K82" s="3" t="s">
        <v>105</v>
      </c>
      <c r="L82" s="3">
        <v>4</v>
      </c>
    </row>
    <row r="83" spans="1:12" x14ac:dyDescent="0.25">
      <c r="A83" s="7">
        <v>44341</v>
      </c>
      <c r="B83" s="3" t="s">
        <v>13</v>
      </c>
      <c r="C83" s="4">
        <v>0.625</v>
      </c>
      <c r="D83" s="4">
        <v>0.95833333333333337</v>
      </c>
      <c r="E83" s="3">
        <v>8</v>
      </c>
      <c r="F83" s="3" t="s">
        <v>81</v>
      </c>
      <c r="G83" s="3" t="s">
        <v>32</v>
      </c>
      <c r="H83" s="3" t="s">
        <v>88</v>
      </c>
      <c r="I83" s="3" t="s">
        <v>114</v>
      </c>
      <c r="J83" s="5" t="s">
        <v>6</v>
      </c>
      <c r="K83" s="3" t="s">
        <v>106</v>
      </c>
      <c r="L83" s="3">
        <v>7</v>
      </c>
    </row>
    <row r="84" spans="1:12" x14ac:dyDescent="0.25">
      <c r="A84" s="7">
        <v>44346</v>
      </c>
      <c r="B84" s="3" t="s">
        <v>13</v>
      </c>
      <c r="C84" s="4">
        <v>0.625</v>
      </c>
      <c r="D84" s="4">
        <v>0.95833333333333337</v>
      </c>
      <c r="E84" s="3">
        <v>8</v>
      </c>
      <c r="F84" s="5" t="s">
        <v>74</v>
      </c>
      <c r="G84" s="3" t="s">
        <v>19</v>
      </c>
      <c r="H84" s="3" t="s">
        <v>90</v>
      </c>
      <c r="I84" s="3" t="s">
        <v>104</v>
      </c>
      <c r="J84" s="5" t="s">
        <v>5</v>
      </c>
      <c r="K84" s="3" t="s">
        <v>107</v>
      </c>
      <c r="L84" s="3">
        <v>6</v>
      </c>
    </row>
    <row r="85" spans="1:12" x14ac:dyDescent="0.25">
      <c r="A85" s="7">
        <v>44347</v>
      </c>
      <c r="B85" s="3" t="s">
        <v>12</v>
      </c>
      <c r="C85" s="4">
        <v>0.29166666666666669</v>
      </c>
      <c r="D85" s="4">
        <v>0.625</v>
      </c>
      <c r="E85" s="3">
        <v>8</v>
      </c>
      <c r="F85" s="3" t="s">
        <v>75</v>
      </c>
      <c r="G85" s="3" t="s">
        <v>61</v>
      </c>
      <c r="H85" s="3" t="s">
        <v>89</v>
      </c>
      <c r="I85" s="3" t="s">
        <v>112</v>
      </c>
      <c r="J85" s="5" t="s">
        <v>7</v>
      </c>
      <c r="K85" s="3" t="s">
        <v>109</v>
      </c>
      <c r="L85" s="3">
        <v>5</v>
      </c>
    </row>
    <row r="86" spans="1:12" x14ac:dyDescent="0.25">
      <c r="A86" s="7">
        <v>44348</v>
      </c>
      <c r="B86" s="3" t="s">
        <v>13</v>
      </c>
      <c r="C86" s="4">
        <v>0.625</v>
      </c>
      <c r="D86" s="4">
        <v>0.95833333333333337</v>
      </c>
      <c r="E86" s="3">
        <v>8</v>
      </c>
      <c r="F86" s="3" t="s">
        <v>81</v>
      </c>
      <c r="G86" s="3" t="s">
        <v>45</v>
      </c>
      <c r="H86" s="3" t="s">
        <v>88</v>
      </c>
      <c r="I86" s="3" t="s">
        <v>114</v>
      </c>
      <c r="J86" s="5" t="s">
        <v>6</v>
      </c>
      <c r="K86" s="3" t="s">
        <v>111</v>
      </c>
      <c r="L86" s="3">
        <v>7</v>
      </c>
    </row>
    <row r="87" spans="1:12" x14ac:dyDescent="0.25">
      <c r="A87" s="7">
        <v>44354</v>
      </c>
      <c r="B87" s="3" t="s">
        <v>13</v>
      </c>
      <c r="C87" s="4">
        <v>0.625</v>
      </c>
      <c r="D87" s="4">
        <v>0.95833333333333337</v>
      </c>
      <c r="E87" s="3">
        <v>8</v>
      </c>
      <c r="F87" s="3" t="s">
        <v>76</v>
      </c>
      <c r="G87" s="3" t="s">
        <v>62</v>
      </c>
      <c r="H87" s="3" t="s">
        <v>91</v>
      </c>
      <c r="I87" s="3" t="s">
        <v>120</v>
      </c>
      <c r="J87" s="5" t="s">
        <v>8</v>
      </c>
      <c r="K87" s="3" t="s">
        <v>113</v>
      </c>
      <c r="L87" s="3">
        <v>10</v>
      </c>
    </row>
    <row r="88" spans="1:12" x14ac:dyDescent="0.25">
      <c r="A88" s="7">
        <v>44362</v>
      </c>
      <c r="B88" s="3" t="s">
        <v>12</v>
      </c>
      <c r="C88" s="4">
        <v>0.29166666666666669</v>
      </c>
      <c r="D88" s="4">
        <v>0.625</v>
      </c>
      <c r="E88" s="3">
        <v>8</v>
      </c>
      <c r="F88" s="3" t="s">
        <v>80</v>
      </c>
      <c r="G88" s="3" t="s">
        <v>64</v>
      </c>
      <c r="H88" s="3" t="s">
        <v>92</v>
      </c>
      <c r="I88" s="3" t="s">
        <v>110</v>
      </c>
      <c r="J88" s="5" t="s">
        <v>9</v>
      </c>
      <c r="K88" s="3" t="s">
        <v>115</v>
      </c>
      <c r="L88" s="3">
        <v>8</v>
      </c>
    </row>
    <row r="89" spans="1:12" x14ac:dyDescent="0.25">
      <c r="A89" s="7">
        <v>44375</v>
      </c>
      <c r="B89" s="3" t="s">
        <v>13</v>
      </c>
      <c r="C89" s="4">
        <v>0.625</v>
      </c>
      <c r="D89" s="4">
        <v>0.95833333333333337</v>
      </c>
      <c r="E89" s="3">
        <v>8</v>
      </c>
      <c r="F89" s="5" t="s">
        <v>74</v>
      </c>
      <c r="G89" s="3" t="s">
        <v>35</v>
      </c>
      <c r="H89" s="3" t="s">
        <v>90</v>
      </c>
      <c r="I89" s="3" t="s">
        <v>104</v>
      </c>
      <c r="J89" s="5" t="s">
        <v>5</v>
      </c>
      <c r="K89" s="3" t="s">
        <v>116</v>
      </c>
      <c r="L89" s="3">
        <v>8</v>
      </c>
    </row>
    <row r="90" spans="1:12" x14ac:dyDescent="0.25">
      <c r="A90" s="7">
        <v>44378</v>
      </c>
      <c r="B90" s="3" t="s">
        <v>13</v>
      </c>
      <c r="C90" s="4">
        <v>0.625</v>
      </c>
      <c r="D90" s="4">
        <v>0.95833333333333337</v>
      </c>
      <c r="E90" s="3">
        <v>8</v>
      </c>
      <c r="F90" s="3" t="s">
        <v>77</v>
      </c>
      <c r="G90" s="3" t="s">
        <v>42</v>
      </c>
      <c r="H90" s="3" t="s">
        <v>94</v>
      </c>
      <c r="I90" s="3" t="s">
        <v>112</v>
      </c>
      <c r="J90" s="5" t="s">
        <v>7</v>
      </c>
      <c r="K90" s="3" t="s">
        <v>117</v>
      </c>
      <c r="L90" s="3">
        <v>7</v>
      </c>
    </row>
    <row r="91" spans="1:12" x14ac:dyDescent="0.25">
      <c r="A91" s="7">
        <v>44387</v>
      </c>
      <c r="B91" s="3" t="s">
        <v>13</v>
      </c>
      <c r="C91" s="4">
        <v>0.625</v>
      </c>
      <c r="D91" s="4">
        <v>0.95833333333333337</v>
      </c>
      <c r="E91" s="3">
        <v>8</v>
      </c>
      <c r="F91" s="3" t="s">
        <v>79</v>
      </c>
      <c r="G91" s="3" t="s">
        <v>68</v>
      </c>
      <c r="H91" s="3" t="s">
        <v>93</v>
      </c>
      <c r="I91" s="3" t="s">
        <v>104</v>
      </c>
      <c r="J91" s="5" t="s">
        <v>5</v>
      </c>
      <c r="K91" s="3" t="s">
        <v>118</v>
      </c>
      <c r="L91" s="3">
        <v>3</v>
      </c>
    </row>
    <row r="92" spans="1:12" x14ac:dyDescent="0.25">
      <c r="A92" s="7">
        <v>44392</v>
      </c>
      <c r="B92" s="3" t="s">
        <v>13</v>
      </c>
      <c r="C92" s="4">
        <v>0.625</v>
      </c>
      <c r="D92" s="4">
        <v>0.95833333333333337</v>
      </c>
      <c r="E92" s="3">
        <v>8</v>
      </c>
      <c r="F92" s="3" t="s">
        <v>80</v>
      </c>
      <c r="G92" s="3" t="s">
        <v>22</v>
      </c>
      <c r="H92" s="3" t="s">
        <v>92</v>
      </c>
      <c r="I92" s="3" t="s">
        <v>110</v>
      </c>
      <c r="J92" s="5" t="s">
        <v>9</v>
      </c>
      <c r="K92" s="3" t="s">
        <v>119</v>
      </c>
      <c r="L92" s="3">
        <v>8</v>
      </c>
    </row>
    <row r="93" spans="1:12" x14ac:dyDescent="0.25">
      <c r="A93" s="7">
        <v>44401</v>
      </c>
      <c r="B93" s="3" t="s">
        <v>12</v>
      </c>
      <c r="C93" s="4">
        <v>0.29166666666666669</v>
      </c>
      <c r="D93" s="4">
        <v>0.625</v>
      </c>
      <c r="E93" s="3">
        <v>8</v>
      </c>
      <c r="F93" s="3" t="s">
        <v>78</v>
      </c>
      <c r="G93" s="3" t="s">
        <v>27</v>
      </c>
      <c r="H93" s="3" t="s">
        <v>87</v>
      </c>
      <c r="I93" s="3" t="s">
        <v>114</v>
      </c>
      <c r="J93" s="5" t="s">
        <v>6</v>
      </c>
      <c r="K93" s="3" t="s">
        <v>121</v>
      </c>
      <c r="L93" s="3">
        <v>5</v>
      </c>
    </row>
    <row r="94" spans="1:12" x14ac:dyDescent="0.25">
      <c r="A94" s="7">
        <v>44405</v>
      </c>
      <c r="B94" s="3" t="s">
        <v>12</v>
      </c>
      <c r="C94" s="4">
        <v>0.29166666666666669</v>
      </c>
      <c r="D94" s="4">
        <v>0.625</v>
      </c>
      <c r="E94" s="3">
        <v>8</v>
      </c>
      <c r="F94" s="3" t="s">
        <v>75</v>
      </c>
      <c r="G94" s="3" t="s">
        <v>16</v>
      </c>
      <c r="H94" s="3" t="s">
        <v>89</v>
      </c>
      <c r="I94" s="3" t="s">
        <v>112</v>
      </c>
      <c r="J94" s="5" t="s">
        <v>7</v>
      </c>
      <c r="K94" s="3" t="s">
        <v>105</v>
      </c>
      <c r="L94" s="3">
        <v>6</v>
      </c>
    </row>
    <row r="95" spans="1:12" x14ac:dyDescent="0.25">
      <c r="A95" s="7">
        <v>44409</v>
      </c>
      <c r="B95" s="3" t="s">
        <v>12</v>
      </c>
      <c r="C95" s="4">
        <v>0.29166666666666669</v>
      </c>
      <c r="D95" s="4">
        <v>0.625</v>
      </c>
      <c r="E95" s="3">
        <v>8</v>
      </c>
      <c r="F95" s="3" t="s">
        <v>76</v>
      </c>
      <c r="G95" s="3" t="s">
        <v>62</v>
      </c>
      <c r="H95" s="3" t="s">
        <v>91</v>
      </c>
      <c r="I95" s="3" t="s">
        <v>120</v>
      </c>
      <c r="J95" s="5" t="s">
        <v>8</v>
      </c>
      <c r="K95" s="3" t="s">
        <v>106</v>
      </c>
      <c r="L95" s="3">
        <v>9</v>
      </c>
    </row>
    <row r="96" spans="1:12" x14ac:dyDescent="0.25">
      <c r="A96" s="7">
        <v>44418</v>
      </c>
      <c r="B96" s="3" t="s">
        <v>13</v>
      </c>
      <c r="C96" s="4">
        <v>0.625</v>
      </c>
      <c r="D96" s="4">
        <v>0.95833333333333337</v>
      </c>
      <c r="E96" s="3">
        <v>8</v>
      </c>
      <c r="F96" s="5" t="s">
        <v>74</v>
      </c>
      <c r="G96" s="3" t="s">
        <v>71</v>
      </c>
      <c r="H96" s="3" t="s">
        <v>90</v>
      </c>
      <c r="I96" s="3" t="s">
        <v>104</v>
      </c>
      <c r="J96" s="5" t="s">
        <v>5</v>
      </c>
      <c r="K96" s="3" t="s">
        <v>107</v>
      </c>
      <c r="L96" s="3">
        <v>2</v>
      </c>
    </row>
    <row r="97" spans="1:12" x14ac:dyDescent="0.25">
      <c r="A97" s="7">
        <v>44422</v>
      </c>
      <c r="B97" s="3" t="s">
        <v>12</v>
      </c>
      <c r="C97" s="4">
        <v>0.29166666666666669</v>
      </c>
      <c r="D97" s="4">
        <v>0.625</v>
      </c>
      <c r="E97" s="3">
        <v>8</v>
      </c>
      <c r="F97" s="3" t="s">
        <v>76</v>
      </c>
      <c r="G97" s="3" t="s">
        <v>55</v>
      </c>
      <c r="H97" s="3" t="s">
        <v>91</v>
      </c>
      <c r="I97" s="3" t="s">
        <v>120</v>
      </c>
      <c r="J97" s="5" t="s">
        <v>8</v>
      </c>
      <c r="K97" s="3" t="s">
        <v>109</v>
      </c>
      <c r="L97" s="3">
        <v>5</v>
      </c>
    </row>
    <row r="98" spans="1:12" x14ac:dyDescent="0.25">
      <c r="A98" s="7">
        <v>44427</v>
      </c>
      <c r="B98" s="3" t="s">
        <v>13</v>
      </c>
      <c r="C98" s="4">
        <v>0.625</v>
      </c>
      <c r="D98" s="4">
        <v>0.95833333333333337</v>
      </c>
      <c r="E98" s="3">
        <v>8</v>
      </c>
      <c r="F98" s="3" t="s">
        <v>76</v>
      </c>
      <c r="G98" s="3" t="s">
        <v>55</v>
      </c>
      <c r="H98" s="3" t="s">
        <v>91</v>
      </c>
      <c r="I98" s="3" t="s">
        <v>120</v>
      </c>
      <c r="J98" s="5" t="s">
        <v>8</v>
      </c>
      <c r="K98" s="3" t="s">
        <v>111</v>
      </c>
      <c r="L98" s="3">
        <v>1</v>
      </c>
    </row>
    <row r="99" spans="1:12" x14ac:dyDescent="0.25">
      <c r="A99" s="7">
        <v>44437</v>
      </c>
      <c r="B99" s="3" t="s">
        <v>13</v>
      </c>
      <c r="C99" s="4">
        <v>0.625</v>
      </c>
      <c r="D99" s="4">
        <v>0.95833333333333337</v>
      </c>
      <c r="E99" s="3">
        <v>8</v>
      </c>
      <c r="F99" s="3" t="s">
        <v>79</v>
      </c>
      <c r="G99" s="3" t="s">
        <v>21</v>
      </c>
      <c r="H99" s="3" t="s">
        <v>93</v>
      </c>
      <c r="I99" s="3" t="s">
        <v>104</v>
      </c>
      <c r="J99" s="5" t="s">
        <v>5</v>
      </c>
      <c r="K99" s="3" t="s">
        <v>113</v>
      </c>
      <c r="L99" s="3">
        <v>5</v>
      </c>
    </row>
    <row r="100" spans="1:12" x14ac:dyDescent="0.25">
      <c r="A100" s="7">
        <v>44440</v>
      </c>
      <c r="B100" s="3" t="s">
        <v>12</v>
      </c>
      <c r="C100" s="4">
        <v>0.29166666666666669</v>
      </c>
      <c r="D100" s="4">
        <v>0.625</v>
      </c>
      <c r="E100" s="3">
        <v>8</v>
      </c>
      <c r="F100" s="3" t="s">
        <v>81</v>
      </c>
      <c r="G100" s="3" t="s">
        <v>65</v>
      </c>
      <c r="H100" s="3" t="s">
        <v>88</v>
      </c>
      <c r="I100" s="3" t="s">
        <v>114</v>
      </c>
      <c r="J100" s="5" t="s">
        <v>6</v>
      </c>
      <c r="K100" s="3" t="s">
        <v>115</v>
      </c>
      <c r="L100" s="3">
        <v>3</v>
      </c>
    </row>
    <row r="101" spans="1:12" x14ac:dyDescent="0.25">
      <c r="A101" s="7">
        <v>44454</v>
      </c>
      <c r="B101" s="3" t="s">
        <v>12</v>
      </c>
      <c r="C101" s="4">
        <v>0.29166666666666669</v>
      </c>
      <c r="D101" s="4">
        <v>0.625</v>
      </c>
      <c r="E101" s="3">
        <v>8</v>
      </c>
      <c r="F101" s="3" t="s">
        <v>78</v>
      </c>
      <c r="G101" s="3" t="s">
        <v>29</v>
      </c>
      <c r="H101" s="3" t="s">
        <v>87</v>
      </c>
      <c r="I101" s="3" t="s">
        <v>114</v>
      </c>
      <c r="J101" s="5" t="s">
        <v>6</v>
      </c>
      <c r="K101" s="3" t="s">
        <v>116</v>
      </c>
      <c r="L101" s="3">
        <v>3</v>
      </c>
    </row>
    <row r="102" spans="1:12" x14ac:dyDescent="0.25">
      <c r="A102" s="6"/>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47D82AE7731D4F8C82707EAB9C81B9" ma:contentTypeVersion="12" ma:contentTypeDescription="Create a new document." ma:contentTypeScope="" ma:versionID="f351e864b04011f904394e23df69c972">
  <xsd:schema xmlns:xsd="http://www.w3.org/2001/XMLSchema" xmlns:xs="http://www.w3.org/2001/XMLSchema" xmlns:p="http://schemas.microsoft.com/office/2006/metadata/properties" xmlns:ns3="56803537-3ff6-422d-bed9-1fcb617f9422" xmlns:ns4="d56ece54-12a2-4b64-9497-10498081da9b" targetNamespace="http://schemas.microsoft.com/office/2006/metadata/properties" ma:root="true" ma:fieldsID="43a8d33750c431dffb4ca2dec68a5588" ns3:_="" ns4:_="">
    <xsd:import namespace="56803537-3ff6-422d-bed9-1fcb617f9422"/>
    <xsd:import namespace="d56ece54-12a2-4b64-9497-10498081da9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803537-3ff6-422d-bed9-1fcb617f94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6ece54-12a2-4b64-9497-10498081da9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EE666E-5865-4EE1-88FA-6EA0E692098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796E164-7A62-4E7A-8440-2E94248B635F}">
  <ds:schemaRefs>
    <ds:schemaRef ds:uri="http://schemas.microsoft.com/sharepoint/v3/contenttype/forms"/>
  </ds:schemaRefs>
</ds:datastoreItem>
</file>

<file path=customXml/itemProps3.xml><?xml version="1.0" encoding="utf-8"?>
<ds:datastoreItem xmlns:ds="http://schemas.openxmlformats.org/officeDocument/2006/customXml" ds:itemID="{041B4C14-F2D1-49C3-BC28-C0CBCF5043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803537-3ff6-422d-bed9-1fcb617f9422"/>
    <ds:schemaRef ds:uri="d56ece54-12a2-4b64-9497-10498081da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ServiceRatingByDate</vt:lpstr>
      <vt:lpstr>NumberOfHoursWorkedperEmployee</vt:lpstr>
      <vt:lpstr>Service Rating by Shift</vt:lpstr>
      <vt:lpstr>Service Rating by Employee</vt:lpstr>
      <vt:lpstr>Service Rating by Supervisor</vt:lpstr>
      <vt:lpstr>Service Rating by Division</vt:lpstr>
      <vt:lpstr>Rawdata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nazir Lee</dc:creator>
  <cp:keywords/>
  <dc:description/>
  <cp:lastModifiedBy>nazir Lee</cp:lastModifiedBy>
  <cp:revision/>
  <dcterms:created xsi:type="dcterms:W3CDTF">2021-12-06T06:51:43Z</dcterms:created>
  <dcterms:modified xsi:type="dcterms:W3CDTF">2022-02-09T06:04:36Z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0x0101005F47D82AE7731D4F8C82707EAB9C81B9</vt:lpwstr>
  </property>
</Properties>
</file>