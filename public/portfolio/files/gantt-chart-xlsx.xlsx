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codeName="ThisWorkbook"/>
  <bookViews>
    <workbookView xWindow="0" yWindow="0" windowWidth="21840" windowHeight="978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GanttChart!$A$1:$BN$37</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32" i="9"/>
  <c r="I32" s="1"/>
  <c r="F31"/>
  <c r="I31" s="1"/>
  <c r="F30"/>
  <c r="I30" s="1"/>
  <c r="F33"/>
  <c r="I33" s="1"/>
  <c r="F34"/>
  <c r="I34" s="1"/>
  <c r="F19"/>
  <c r="F10"/>
  <c r="F41"/>
  <c r="I41" s="1"/>
  <c r="F40"/>
  <c r="I40" s="1"/>
  <c r="F39"/>
  <c r="I39" s="1"/>
  <c r="F38"/>
  <c r="I38" s="1"/>
  <c r="F37"/>
  <c r="I37" s="1"/>
  <c r="F36"/>
  <c r="I36" s="1"/>
  <c r="F8" l="1"/>
  <c r="I8" s="1"/>
  <c r="F24"/>
  <c r="I24" s="1"/>
  <c r="F18"/>
  <c r="I18" s="1"/>
  <c r="F12" l="1"/>
  <c r="F9"/>
  <c r="K6"/>
  <c r="F15" l="1"/>
  <c r="I15" s="1"/>
  <c r="I12"/>
  <c r="I10"/>
  <c r="I9"/>
  <c r="F16"/>
  <c r="I16" s="1"/>
  <c r="K7"/>
  <c r="K4"/>
  <c r="A8"/>
  <c r="F13" l="1"/>
  <c r="I13" s="1"/>
  <c r="F14" l="1"/>
  <c r="I14" s="1"/>
  <c r="L6" l="1"/>
  <c r="F20" l="1"/>
  <c r="I20" s="1"/>
  <c r="I19"/>
  <c r="F26"/>
  <c r="I26" s="1"/>
  <c r="F25"/>
  <c r="I25" s="1"/>
  <c r="M6"/>
  <c r="F27"/>
  <c r="I27" s="1"/>
  <c r="N6" l="1"/>
  <c r="F28" l="1"/>
  <c r="I28" s="1"/>
  <c r="O6"/>
  <c r="F17"/>
  <c r="I17" s="1"/>
  <c r="K5"/>
  <c r="F35" l="1"/>
  <c r="I35" s="1"/>
  <c r="F29"/>
  <c r="I29" s="1"/>
  <c r="F11"/>
  <c r="I11" s="1"/>
  <c r="P6"/>
  <c r="Q6" l="1"/>
  <c r="M7"/>
  <c r="R6" l="1"/>
  <c r="N7"/>
  <c r="S6" l="1"/>
  <c r="O7"/>
  <c r="T6" l="1"/>
  <c r="P7"/>
  <c r="U6" l="1"/>
  <c r="Q7"/>
  <c r="V6" l="1"/>
  <c r="R7"/>
  <c r="R5"/>
  <c r="R4"/>
  <c r="W6" l="1"/>
  <c r="S7"/>
  <c r="X6" l="1"/>
  <c r="T7"/>
  <c r="Y6" l="1"/>
  <c r="U7"/>
  <c r="Z6" l="1"/>
  <c r="V7"/>
  <c r="AA6" l="1"/>
  <c r="X7"/>
  <c r="W7"/>
  <c r="AB6" l="1"/>
  <c r="Y5"/>
  <c r="Y4"/>
  <c r="Y7"/>
  <c r="AC6" l="1"/>
  <c r="Z7"/>
  <c r="AD6" l="1"/>
  <c r="AA7"/>
  <c r="AE6" l="1"/>
  <c r="AB7"/>
  <c r="AF6" l="1"/>
  <c r="AC7"/>
  <c r="AG6" l="1"/>
  <c r="AG7" s="1"/>
  <c r="AD7"/>
  <c r="AH6" l="1"/>
  <c r="AE7"/>
  <c r="AI6" l="1"/>
  <c r="AF4"/>
  <c r="AF7"/>
  <c r="AF5"/>
  <c r="AJ6" l="1"/>
  <c r="AK6" l="1"/>
  <c r="AH7"/>
  <c r="AL6" l="1"/>
  <c r="AI7"/>
  <c r="AM6" l="1"/>
  <c r="AJ7"/>
  <c r="AN6" l="1"/>
  <c r="AK7"/>
  <c r="AO6" l="1"/>
  <c r="AL7"/>
  <c r="AP6" l="1"/>
  <c r="AM7"/>
  <c r="AM5"/>
  <c r="AM4"/>
  <c r="AQ6" l="1"/>
  <c r="AN7"/>
  <c r="AR6" l="1"/>
  <c r="AO7"/>
  <c r="AS6" l="1"/>
  <c r="AP7"/>
  <c r="AT6" l="1"/>
  <c r="AQ7"/>
  <c r="AU6" l="1"/>
  <c r="AR7"/>
  <c r="AV6" l="1"/>
  <c r="AS7"/>
  <c r="AW6" l="1"/>
  <c r="AT7"/>
  <c r="AT5"/>
  <c r="AT4"/>
  <c r="AX6" l="1"/>
  <c r="AU7"/>
  <c r="AY6" l="1"/>
  <c r="AV7"/>
  <c r="AZ6" l="1"/>
  <c r="AW7"/>
  <c r="BA6" l="1"/>
  <c r="AX7"/>
  <c r="BB6" l="1"/>
  <c r="AY7"/>
  <c r="BC6" l="1"/>
  <c r="AZ7"/>
  <c r="BD6" l="1"/>
  <c r="BA5"/>
  <c r="BA4"/>
  <c r="BA7"/>
  <c r="BE6" l="1"/>
  <c r="BB7"/>
  <c r="BF6" l="1"/>
  <c r="BC7"/>
  <c r="BG6" l="1"/>
  <c r="BD7"/>
  <c r="BH6" l="1"/>
  <c r="BE7"/>
  <c r="BI6" l="1"/>
  <c r="BF7"/>
  <c r="BJ6" l="1"/>
  <c r="BG7"/>
  <c r="BK6" l="1"/>
  <c r="BH4"/>
  <c r="BH7"/>
  <c r="BH5"/>
  <c r="BL6" l="1"/>
  <c r="BI7"/>
  <c r="BM6" l="1"/>
  <c r="BJ7"/>
  <c r="BN6" l="1"/>
  <c r="BO6" s="1"/>
  <c r="BK7"/>
  <c r="BP6" l="1"/>
  <c r="BO7"/>
  <c r="BO4"/>
  <c r="BO5"/>
  <c r="BL7"/>
  <c r="BQ6" l="1"/>
  <c r="BP7"/>
  <c r="BM7"/>
  <c r="BR6" l="1"/>
  <c r="BQ7"/>
  <c r="BN7"/>
  <c r="BS6" l="1"/>
  <c r="BR7"/>
  <c r="A9"/>
  <c r="A10" s="1"/>
  <c r="A11" s="1"/>
  <c r="BS7" l="1"/>
  <c r="BT6"/>
  <c r="A12"/>
  <c r="A13" s="1"/>
  <c r="A14" s="1"/>
  <c r="A15" s="1"/>
  <c r="A16" s="1"/>
  <c r="A17" s="1"/>
  <c r="BU6" l="1"/>
  <c r="BT7"/>
  <c r="A18"/>
  <c r="A19" s="1"/>
  <c r="A20" s="1"/>
  <c r="A21" s="1"/>
  <c r="A22" s="1"/>
  <c r="A23" s="1"/>
  <c r="BU7" l="1"/>
  <c r="BV6"/>
  <c r="A24"/>
  <c r="A25" s="1"/>
  <c r="A26" s="1"/>
  <c r="A27" s="1"/>
  <c r="A28" s="1"/>
  <c r="A29" s="1"/>
  <c r="A30" s="1"/>
  <c r="A31" s="1"/>
  <c r="A32" s="1"/>
  <c r="A33" s="1"/>
  <c r="A34" s="1"/>
  <c r="F21"/>
  <c r="BW6" l="1"/>
  <c r="BV7"/>
  <c r="BV4"/>
  <c r="BV5"/>
  <c r="A35"/>
  <c r="A36" s="1"/>
  <c r="I21"/>
  <c r="F22"/>
  <c r="BW7" l="1"/>
  <c r="BX6"/>
  <c r="A37"/>
  <c r="A38" s="1"/>
  <c r="A39" s="1"/>
  <c r="A40" s="1"/>
  <c r="A41" s="1"/>
  <c r="I22"/>
  <c r="F23"/>
  <c r="I23" s="1"/>
  <c r="BY6" l="1"/>
  <c r="BX7"/>
  <c r="BZ6" l="1"/>
  <c r="BY7"/>
  <c r="CA6" l="1"/>
  <c r="BZ7"/>
  <c r="CA7" l="1"/>
  <c r="CB6"/>
  <c r="CB7" l="1"/>
  <c r="CC6"/>
  <c r="CD6" l="1"/>
  <c r="CC4"/>
  <c r="CC5"/>
  <c r="CC7"/>
  <c r="CE6" l="1"/>
  <c r="CD7"/>
  <c r="CF6" l="1"/>
  <c r="CE7"/>
  <c r="CG6" l="1"/>
  <c r="CF7"/>
  <c r="CG7" l="1"/>
  <c r="CH6"/>
  <c r="CI6" l="1"/>
  <c r="CH7"/>
  <c r="CI7" l="1"/>
  <c r="CJ6"/>
  <c r="CK6" l="1"/>
  <c r="CJ4"/>
  <c r="CJ5"/>
  <c r="CJ7"/>
  <c r="CL6" l="1"/>
  <c r="CK7"/>
  <c r="CL7" l="1"/>
  <c r="CM6"/>
  <c r="CM7" l="1"/>
  <c r="CN6"/>
  <c r="CN7" l="1"/>
  <c r="CO6"/>
  <c r="CO7" l="1"/>
  <c r="CP6"/>
  <c r="CP7" l="1"/>
  <c r="CQ6"/>
  <c r="CQ5" l="1"/>
  <c r="CQ4"/>
  <c r="CQ7"/>
  <c r="CR6"/>
  <c r="CS6" l="1"/>
  <c r="CR7"/>
  <c r="CS7" l="1"/>
  <c r="CT6"/>
  <c r="CU6" l="1"/>
  <c r="CT7"/>
  <c r="CV6" l="1"/>
  <c r="CU7"/>
  <c r="CV7" l="1"/>
  <c r="CW6"/>
  <c r="CW7" l="1"/>
  <c r="CX6"/>
  <c r="CY6" l="1"/>
  <c r="CX4"/>
  <c r="CX7"/>
  <c r="CX5"/>
  <c r="CZ6" l="1"/>
  <c r="CY7"/>
  <c r="DA6" l="1"/>
  <c r="CZ7"/>
  <c r="DA7" l="1"/>
  <c r="DB6"/>
  <c r="DB7" l="1"/>
  <c r="DC6"/>
  <c r="DC7" l="1"/>
  <c r="DD6"/>
  <c r="DE6" l="1"/>
  <c r="DD7"/>
  <c r="DE5" l="1"/>
  <c r="DE7"/>
  <c r="DE4"/>
  <c r="DF6"/>
  <c r="DG6" l="1"/>
  <c r="DF7"/>
  <c r="DH6" l="1"/>
  <c r="DG7"/>
  <c r="DI6" l="1"/>
  <c r="DH7"/>
  <c r="DI7" l="1"/>
  <c r="DJ6"/>
  <c r="DJ7" l="1"/>
  <c r="DK6"/>
  <c r="DK7" l="1"/>
  <c r="DL6"/>
  <c r="DM6" l="1"/>
  <c r="DL7"/>
  <c r="DL4"/>
  <c r="DL5"/>
  <c r="DN6" l="1"/>
  <c r="DM7"/>
  <c r="DO6" l="1"/>
  <c r="DN7"/>
  <c r="DP6" l="1"/>
  <c r="DO7"/>
  <c r="DP7" l="1"/>
  <c r="DQ6"/>
  <c r="DQ7" l="1"/>
  <c r="DR6"/>
  <c r="DR7" l="1"/>
  <c r="DS6"/>
  <c r="DS7" l="1"/>
  <c r="DS5"/>
  <c r="DT6"/>
  <c r="DS4"/>
  <c r="DT7" l="1"/>
  <c r="DU6"/>
  <c r="DV6" l="1"/>
  <c r="DU7"/>
  <c r="DV7" l="1"/>
  <c r="DW6"/>
  <c r="DW7" l="1"/>
  <c r="DX6"/>
  <c r="DX7" l="1"/>
  <c r="DY6"/>
  <c r="DY7" s="1"/>
</calcChain>
</file>

<file path=xl/comments1.xml><?xml version="1.0" encoding="utf-8"?>
<comments xmlns="http://schemas.openxmlformats.org/spreadsheetml/2006/main">
  <authors>
    <author>Vertex42</author>
    <author>Vertex42.com Templates</author>
  </authors>
  <commentList>
    <comment ref="A7" authorId="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color indexed="81"/>
            <rFont val="Tahoma"/>
            <family val="2"/>
          </rPr>
          <t>Task Description</t>
        </r>
        <r>
          <rPr>
            <sz val="9"/>
            <color indexed="81"/>
            <rFont val="Tahoma"/>
            <family val="2"/>
          </rPr>
          <t xml:space="preserve">
Enter the name of each task and sub-task. Use indents for sub-tasks.</t>
        </r>
      </text>
    </comment>
    <comment ref="C7" authorId="0">
      <text>
        <r>
          <rPr>
            <b/>
            <sz val="9"/>
            <color indexed="81"/>
            <rFont val="Tahoma"/>
            <family val="2"/>
          </rPr>
          <t>Task Lead</t>
        </r>
        <r>
          <rPr>
            <sz val="9"/>
            <color indexed="81"/>
            <rFont val="Tahoma"/>
            <family val="2"/>
          </rPr>
          <t xml:space="preserve">
Enter the name of the Task Lead in this column.</t>
        </r>
      </text>
    </comment>
    <comment ref="D7" authorId="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color indexed="81"/>
            <rFont val="Tahoma"/>
            <family val="2"/>
          </rPr>
          <t>This is an example comment.</t>
        </r>
      </text>
    </comment>
  </commentList>
</comments>
</file>

<file path=xl/sharedStrings.xml><?xml version="1.0" encoding="utf-8"?>
<sst xmlns="http://schemas.openxmlformats.org/spreadsheetml/2006/main" count="188" uniqueCount="153">
  <si>
    <t>WBS</t>
  </si>
  <si>
    <t>Input Cell</t>
  </si>
  <si>
    <t>Label</t>
  </si>
  <si>
    <t>Getting Started Tips</t>
  </si>
  <si>
    <t>FAQs</t>
  </si>
  <si>
    <t>Q:</t>
  </si>
  <si>
    <t>Creating Task Dependencies</t>
  </si>
  <si>
    <t>[Task]</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</si>
  <si>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</si>
  <si>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</si>
  <si>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</si>
  <si>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</si>
  <si>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</si>
  <si>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</si>
  <si>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</si>
  <si>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</si>
  <si>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</si>
  <si>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</si>
  <si>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</si>
  <si>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</si>
  <si>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</si>
  <si>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</si>
  <si>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</si>
  <si>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</si>
  <si>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</si>
  <si>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</si>
  <si>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</si>
  <si>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</si>
  <si>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</si>
  <si>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</si>
  <si>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</si>
  <si>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</si>
  <si>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</si>
  <si>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</si>
  <si>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</si>
  <si>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</si>
  <si>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</si>
  <si>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</si>
  <si>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</si>
  <si>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</si>
  <si>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</si>
  <si>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</si>
  <si>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</si>
  <si>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</si>
  <si>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</si>
  <si>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</si>
  <si>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</si>
  <si>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</si>
  <si>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</si>
  <si>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</si>
  <si>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</si>
  <si>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</si>
  <si>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</si>
  <si>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</si>
  <si>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</si>
  <si>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</si>
  <si>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</si>
  <si>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</si>
  <si>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</si>
  <si>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</si>
  <si>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</si>
  <si>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</si>
  <si>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</si>
  <si>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</si>
  <si>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</si>
  <si>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</si>
  <si>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 DONE</t>
  </si>
  <si>
    <t>WORK DAYS</t>
  </si>
  <si>
    <t>PREDECESSOR</t>
  </si>
  <si>
    <t xml:space="preserve">Project Start Date </t>
  </si>
  <si>
    <t xml:space="preserve">Project Lead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</si>
  <si>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</si>
  <si>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</si>
  <si>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</si>
  <si>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</si>
  <si>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</si>
  <si>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</si>
  <si>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</si>
  <si>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</si>
  <si>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</si>
  <si>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</si>
  <si>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</si>
  <si>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</si>
  <si>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</si>
  <si>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</si>
  <si>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</si>
  <si>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</si>
  <si>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</si>
  <si>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</si>
  <si>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</si>
  <si>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</si>
  <si>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</si>
  <si>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</si>
  <si>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</si>
  <si>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</si>
  <si>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</si>
  <si>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</si>
  <si>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</si>
  <si>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</si>
  <si>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</si>
  <si>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</si>
  <si>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</si>
  <si>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</si>
  <si>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</si>
  <si>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</si>
  <si>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</si>
  <si>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</si>
  <si>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</si>
  <si>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</si>
  <si>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</si>
  <si>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</si>
  <si>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</si>
  <si>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</si>
  <si>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</si>
  <si>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</si>
  <si>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</si>
  <si>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</si>
  <si>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</si>
  <si>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</si>
  <si>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</si>
  <si>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</si>
  <si>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</si>
  <si>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</si>
  <si>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</si>
  <si>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</si>
  <si>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[Sub-task]</t>
  </si>
  <si>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</si>
  <si>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</si>
  <si>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</si>
  <si>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</si>
  <si>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Project Conception and Initiation</t>
  </si>
  <si>
    <t>Project Definition and planning</t>
  </si>
  <si>
    <t>Project Launch or Execution</t>
  </si>
  <si>
    <t>Project Close</t>
  </si>
  <si>
    <t xml:space="preserve">[Digital detox: Tools and strategies to manage the impact of the increasing reliance on digital technologies in the modern world.  </t>
  </si>
  <si>
    <t>[Digital Wellbeing]</t>
  </si>
  <si>
    <t>Nazirr</t>
  </si>
  <si>
    <t>Define Aims and Objective</t>
  </si>
  <si>
    <t>Nazir</t>
  </si>
  <si>
    <t>Form the Objective and timeframes</t>
  </si>
  <si>
    <t>Generating the project 
management plan which 
comprise compatible action 
to meet objective and 
time-frames by outlining 
project  cost, scope, time, 
quality, communication, 
risk and resources</t>
  </si>
  <si>
    <t>Generate the Work Breakdown 
Structure and Gantt chart to 
show the project’s schedule</t>
  </si>
  <si>
    <t>Organize a research by 
applying both qualitative
and quantitative method</t>
  </si>
  <si>
    <t>Classify the accuracy and the reliability of the research</t>
  </si>
  <si>
    <t>Calculate the tools and techniques 
used for accuracy and authenticity
to support and justify 
recommendations</t>
  </si>
  <si>
    <t>Conduct the finding and conclusion
to form basis recommendation</t>
  </si>
  <si>
    <t>Justify the project management process</t>
  </si>
  <si>
    <t>present and generate the project report to communicate the justify recommendation</t>
  </si>
  <si>
    <t>Accomplish the performance review</t>
  </si>
  <si>
    <t>Classify the successful of the project</t>
  </si>
  <si>
    <t>[Task]+B27:E41B38B20:E41B17:E41B38B20:E41</t>
  </si>
  <si>
    <t>T</t>
  </si>
  <si>
    <t>Display week</t>
  </si>
</sst>
</file>

<file path=xl/styles.xml><?xml version="1.0" encoding="utf-8"?>
<styleSheet xmlns="http://schemas.openxmlformats.org/spreadsheetml/2006/main">
  <numFmts count="4">
    <numFmt numFmtId="164" formatCode="m/d/yyyy\ \(dddd\)"/>
    <numFmt numFmtId="165" formatCode="ddd\ m/dd/yy"/>
    <numFmt numFmtId="166" formatCode="d"/>
    <numFmt numFmtId="167" formatCode="d\ mmm\ yyyy"/>
  </numFmts>
  <fonts count="67">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49">
    <xf numFmtId="0" fontId="0" fillId="0" borderId="0" xfId="0"/>
    <xf numFmtId="0" fontId="0" fillId="0" borderId="0" xfId="0" applyProtection="1"/>
    <xf numFmtId="0" fontId="0" fillId="20" borderId="0" xfId="0" applyFill="1" applyBorder="1"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1" fillId="0" borderId="0" xfId="0" applyFont="1"/>
    <xf numFmtId="0" fontId="1" fillId="0" borderId="0" xfId="0" applyFont="1" applyAlignment="1"/>
    <xf numFmtId="0" fontId="3" fillId="0" borderId="0" xfId="0" applyFont="1" applyBorder="1" applyAlignment="1">
      <alignment horizontal="right"/>
    </xf>
    <xf numFmtId="0" fontId="7" fillId="0" borderId="0" xfId="0" applyFont="1" applyFill="1" applyBorder="1" applyAlignment="1"/>
    <xf numFmtId="0" fontId="1" fillId="0" borderId="0" xfId="0" applyFont="1" applyFill="1" applyBorder="1" applyAlignment="1"/>
    <xf numFmtId="0" fontId="1" fillId="0" borderId="0" xfId="0" applyFont="1" applyAlignment="1">
      <alignment horizontal="left" wrapText="1" indent="1"/>
    </xf>
    <xf numFmtId="0" fontId="1" fillId="0" borderId="0" xfId="0" applyFont="1" applyFill="1" applyBorder="1" applyAlignment="1"/>
    <xf numFmtId="0" fontId="1" fillId="0" borderId="13" xfId="0" applyFont="1" applyBorder="1"/>
    <xf numFmtId="0" fontId="0" fillId="0" borderId="13" xfId="0" applyBorder="1"/>
    <xf numFmtId="0" fontId="0" fillId="0" borderId="0" xfId="0"/>
    <xf numFmtId="0" fontId="29" fillId="0" borderId="13" xfId="0" applyFont="1" applyBorder="1" applyAlignment="1">
      <alignment horizontal="left" wrapText="1"/>
    </xf>
    <xf numFmtId="0" fontId="5" fillId="0" borderId="13" xfId="0" applyFont="1" applyBorder="1" applyAlignment="1">
      <alignment horizontal="left" wrapText="1"/>
    </xf>
    <xf numFmtId="0" fontId="29" fillId="0" borderId="13" xfId="0" applyFont="1" applyBorder="1" applyAlignment="1">
      <alignment horizontal="left"/>
    </xf>
    <xf numFmtId="0" fontId="1" fillId="0" borderId="0" xfId="0" applyFont="1"/>
    <xf numFmtId="0" fontId="3" fillId="0" borderId="0" xfId="0" applyFont="1" applyAlignment="1">
      <alignment wrapText="1"/>
    </xf>
    <xf numFmtId="0" fontId="10" fillId="0" borderId="0" xfId="0" applyNumberFormat="1" applyFont="1" applyAlignment="1" applyProtection="1">
      <protection locked="0"/>
    </xf>
    <xf numFmtId="0" fontId="7" fillId="0" borderId="0" xfId="0" applyFont="1"/>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Border="1" applyAlignment="1">
      <alignment horizontal="left" vertical="center"/>
    </xf>
    <xf numFmtId="0" fontId="2" fillId="0" borderId="0" xfId="34" applyAlignment="1" applyProtection="1">
      <alignment horizontal="left"/>
    </xf>
    <xf numFmtId="0" fontId="0" fillId="0" borderId="0" xfId="0" applyProtection="1">
      <protection locked="0"/>
    </xf>
    <xf numFmtId="0" fontId="0" fillId="0" borderId="0" xfId="0" applyFill="1" applyBorder="1" applyProtection="1">
      <protection locked="0"/>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4" xfId="0" applyFont="1" applyBorder="1" applyAlignment="1">
      <alignment horizontal="left" wrapText="1"/>
    </xf>
    <xf numFmtId="0" fontId="30" fillId="0" borderId="13" xfId="34" applyFont="1" applyBorder="1" applyAlignment="1" applyProtection="1">
      <alignment horizontal="left" wrapText="1"/>
    </xf>
    <xf numFmtId="0" fontId="37" fillId="0" borderId="14" xfId="34" applyFont="1" applyBorder="1" applyAlignment="1" applyProtection="1">
      <alignment wrapText="1"/>
    </xf>
    <xf numFmtId="0" fontId="33" fillId="0" borderId="0" xfId="0" applyFont="1" applyFill="1" applyBorder="1" applyAlignment="1"/>
    <xf numFmtId="0" fontId="32" fillId="0" borderId="0" xfId="0" applyFont="1" applyFill="1" applyBorder="1" applyAlignment="1">
      <alignment horizontal="left" vertical="center"/>
    </xf>
    <xf numFmtId="0" fontId="31" fillId="0" borderId="0" xfId="0" applyFont="1" applyFill="1" applyBorder="1" applyAlignment="1">
      <alignment horizontal="left" vertical="center"/>
    </xf>
    <xf numFmtId="0" fontId="1" fillId="0" borderId="0" xfId="0" applyFont="1" applyBorder="1"/>
    <xf numFmtId="0" fontId="1" fillId="0" borderId="14" xfId="0" applyFont="1" applyBorder="1"/>
    <xf numFmtId="0" fontId="0" fillId="0" borderId="14" xfId="0" applyBorder="1"/>
    <xf numFmtId="0" fontId="0" fillId="0" borderId="0" xfId="0" applyBorder="1"/>
    <xf numFmtId="0" fontId="29" fillId="0" borderId="0" xfId="0" applyFont="1" applyBorder="1" applyAlignment="1">
      <alignment horizontal="left" wrapText="1"/>
    </xf>
    <xf numFmtId="0" fontId="9" fillId="0" borderId="0" xfId="0" applyNumberFormat="1" applyFont="1" applyFill="1" applyBorder="1" applyAlignment="1" applyProtection="1">
      <alignment vertical="center"/>
      <protection locked="0"/>
    </xf>
    <xf numFmtId="0" fontId="1" fillId="0" borderId="0" xfId="0" applyFont="1" applyFill="1" applyAlignment="1" applyProtection="1"/>
    <xf numFmtId="0" fontId="43" fillId="0" borderId="0" xfId="0" applyNumberFormat="1" applyFont="1" applyFill="1" applyBorder="1" applyProtection="1"/>
    <xf numFmtId="0" fontId="43" fillId="0" borderId="0" xfId="0" applyFont="1" applyProtection="1"/>
    <xf numFmtId="0" fontId="43" fillId="0" borderId="0" xfId="0" applyNumberFormat="1" applyFont="1" applyProtection="1"/>
    <xf numFmtId="0" fontId="44" fillId="0" borderId="0" xfId="0" applyNumberFormat="1" applyFont="1" applyAlignment="1" applyProtection="1">
      <alignment vertical="center"/>
      <protection locked="0"/>
    </xf>
    <xf numFmtId="0" fontId="46" fillId="22" borderId="10" xfId="0" applyNumberFormat="1" applyFont="1" applyFill="1" applyBorder="1" applyAlignment="1" applyProtection="1">
      <alignment horizontal="left" vertical="center"/>
    </xf>
    <xf numFmtId="0" fontId="46" fillId="22" borderId="10" xfId="0" applyFont="1" applyFill="1" applyBorder="1" applyAlignment="1" applyProtection="1">
      <alignment vertical="center"/>
    </xf>
    <xf numFmtId="0" fontId="42" fillId="22" borderId="10" xfId="0" applyFont="1" applyFill="1" applyBorder="1" applyAlignment="1" applyProtection="1">
      <alignment vertical="center"/>
    </xf>
    <xf numFmtId="0" fontId="42" fillId="22" borderId="10" xfId="0" applyNumberFormat="1" applyFont="1" applyFill="1" applyBorder="1" applyAlignment="1" applyProtection="1">
      <alignment horizontal="center" vertical="center"/>
    </xf>
    <xf numFmtId="1" fontId="42" fillId="22" borderId="10" xfId="40" applyNumberFormat="1" applyFont="1" applyFill="1" applyBorder="1" applyAlignment="1" applyProtection="1">
      <alignment horizontal="center" vertical="center"/>
    </xf>
    <xf numFmtId="9" fontId="42" fillId="22" borderId="10" xfId="40" applyFont="1" applyFill="1" applyBorder="1" applyAlignment="1" applyProtection="1">
      <alignment horizontal="center" vertical="center"/>
    </xf>
    <xf numFmtId="1" fontId="42" fillId="22" borderId="10" xfId="0" applyNumberFormat="1" applyFont="1" applyFill="1" applyBorder="1" applyAlignment="1" applyProtection="1">
      <alignment horizontal="center" vertical="center"/>
    </xf>
    <xf numFmtId="0" fontId="42" fillId="0" borderId="10" xfId="0" applyNumberFormat="1" applyFont="1" applyFill="1" applyBorder="1" applyAlignment="1" applyProtection="1">
      <alignment horizontal="left" vertical="center"/>
    </xf>
    <xf numFmtId="0" fontId="42" fillId="0" borderId="10" xfId="0" applyFont="1" applyFill="1" applyBorder="1" applyAlignment="1" applyProtection="1">
      <alignment vertical="center"/>
    </xf>
    <xf numFmtId="1" fontId="47" fillId="24" borderId="11" xfId="0" applyNumberFormat="1" applyFont="1" applyFill="1" applyBorder="1" applyAlignment="1" applyProtection="1">
      <alignment horizontal="center" vertical="center"/>
    </xf>
    <xf numFmtId="9" fontId="47" fillId="24" borderId="11" xfId="40" applyFont="1" applyFill="1" applyBorder="1" applyAlignment="1" applyProtection="1">
      <alignment horizontal="center" vertical="center"/>
    </xf>
    <xf numFmtId="1" fontId="47" fillId="0" borderId="11" xfId="0" applyNumberFormat="1" applyFont="1" applyBorder="1" applyAlignment="1" applyProtection="1">
      <alignment horizontal="center" vertical="center"/>
    </xf>
    <xf numFmtId="0" fontId="42" fillId="0" borderId="0" xfId="0" applyFont="1" applyFill="1" applyBorder="1" applyAlignment="1" applyProtection="1">
      <alignment vertical="center"/>
    </xf>
    <xf numFmtId="0" fontId="48" fillId="0" borderId="0" xfId="0" applyFont="1" applyFill="1" applyBorder="1" applyAlignment="1" applyProtection="1">
      <alignment vertical="center"/>
    </xf>
    <xf numFmtId="166" fontId="3" fillId="0" borderId="12" xfId="0" applyNumberFormat="1" applyFont="1" applyFill="1" applyBorder="1" applyAlignment="1" applyProtection="1">
      <alignment horizontal="center" vertical="center" shrinkToFit="1"/>
    </xf>
    <xf numFmtId="0" fontId="46" fillId="22" borderId="15" xfId="0" applyNumberFormat="1" applyFont="1" applyFill="1" applyBorder="1" applyAlignment="1" applyProtection="1">
      <alignment horizontal="left" vertical="center"/>
    </xf>
    <xf numFmtId="0" fontId="46" fillId="22" borderId="15" xfId="0" applyFont="1" applyFill="1" applyBorder="1" applyAlignment="1" applyProtection="1">
      <alignment vertical="center"/>
    </xf>
    <xf numFmtId="0" fontId="42" fillId="22" borderId="15" xfId="0" applyFont="1" applyFill="1" applyBorder="1" applyAlignment="1" applyProtection="1">
      <alignment vertical="center"/>
    </xf>
    <xf numFmtId="0" fontId="42" fillId="22" borderId="15" xfId="0" applyNumberFormat="1" applyFont="1" applyFill="1" applyBorder="1" applyAlignment="1" applyProtection="1">
      <alignment horizontal="center" vertical="center"/>
    </xf>
    <xf numFmtId="165" fontId="42" fillId="22" borderId="15" xfId="0" applyNumberFormat="1" applyFont="1" applyFill="1" applyBorder="1" applyAlignment="1" applyProtection="1">
      <alignment horizontal="right" vertical="center"/>
    </xf>
    <xf numFmtId="1" fontId="42" fillId="22" borderId="15" xfId="40" applyNumberFormat="1" applyFont="1" applyFill="1" applyBorder="1" applyAlignment="1" applyProtection="1">
      <alignment horizontal="center" vertical="center"/>
    </xf>
    <xf numFmtId="9" fontId="42" fillId="22" borderId="15" xfId="40" applyFont="1" applyFill="1" applyBorder="1" applyAlignment="1" applyProtection="1">
      <alignment horizontal="center" vertical="center"/>
    </xf>
    <xf numFmtId="1" fontId="42" fillId="22" borderId="15" xfId="0" applyNumberFormat="1" applyFont="1" applyFill="1" applyBorder="1" applyAlignment="1" applyProtection="1">
      <alignment horizontal="center" vertical="center"/>
    </xf>
    <xf numFmtId="166" fontId="3" fillId="0" borderId="17" xfId="0" applyNumberFormat="1" applyFont="1" applyFill="1" applyBorder="1" applyAlignment="1" applyProtection="1">
      <alignment horizontal="center" vertical="center" shrinkToFit="1"/>
    </xf>
    <xf numFmtId="166" fontId="3" fillId="0" borderId="18" xfId="0" applyNumberFormat="1" applyFont="1" applyFill="1" applyBorder="1" applyAlignment="1" applyProtection="1">
      <alignment horizontal="center" vertical="center" shrinkToFit="1"/>
    </xf>
    <xf numFmtId="1" fontId="50" fillId="22" borderId="15" xfId="0" applyNumberFormat="1" applyFont="1" applyFill="1" applyBorder="1" applyAlignment="1" applyProtection="1">
      <alignment horizontal="center" vertical="center"/>
    </xf>
    <xf numFmtId="1" fontId="51" fillId="0" borderId="11" xfId="0" applyNumberFormat="1" applyFont="1" applyBorder="1" applyAlignment="1" applyProtection="1">
      <alignment horizontal="center" vertical="center"/>
    </xf>
    <xf numFmtId="1" fontId="50" fillId="22" borderId="10" xfId="0" applyNumberFormat="1" applyFont="1" applyFill="1" applyBorder="1" applyAlignment="1" applyProtection="1">
      <alignment horizontal="center" vertical="center"/>
    </xf>
    <xf numFmtId="0" fontId="50" fillId="22" borderId="0" xfId="0" applyFont="1" applyFill="1" applyAlignment="1" applyProtection="1">
      <alignment vertical="center"/>
    </xf>
    <xf numFmtId="1" fontId="51" fillId="0" borderId="11" xfId="0" applyNumberFormat="1" applyFont="1" applyFill="1" applyBorder="1" applyAlignment="1" applyProtection="1">
      <alignment horizontal="center" vertical="center"/>
    </xf>
    <xf numFmtId="165" fontId="47" fillId="23" borderId="11" xfId="0" applyNumberFormat="1" applyFont="1" applyFill="1" applyBorder="1" applyAlignment="1" applyProtection="1">
      <alignment horizontal="center" vertical="center"/>
    </xf>
    <xf numFmtId="165" fontId="47" fillId="0" borderId="11" xfId="0" applyNumberFormat="1" applyFont="1" applyBorder="1" applyAlignment="1" applyProtection="1">
      <alignment horizontal="center" vertical="center"/>
    </xf>
    <xf numFmtId="165" fontId="42" fillId="22" borderId="10" xfId="0" applyNumberFormat="1" applyFont="1" applyFill="1" applyBorder="1" applyAlignment="1" applyProtection="1">
      <alignment horizontal="center" vertical="center"/>
    </xf>
    <xf numFmtId="0" fontId="42" fillId="22" borderId="15" xfId="0" applyFont="1" applyFill="1" applyBorder="1" applyAlignment="1" applyProtection="1">
      <alignment horizontal="left" vertical="center"/>
    </xf>
    <xf numFmtId="0" fontId="42" fillId="0" borderId="10" xfId="0" applyFont="1" applyFill="1" applyBorder="1" applyAlignment="1" applyProtection="1">
      <alignment horizontal="left" vertical="center"/>
    </xf>
    <xf numFmtId="9" fontId="42" fillId="0" borderId="10" xfId="0" applyNumberFormat="1" applyFont="1" applyFill="1" applyBorder="1" applyAlignment="1" applyProtection="1">
      <alignment horizontal="left" vertical="center"/>
    </xf>
    <xf numFmtId="0" fontId="42" fillId="22" borderId="10" xfId="0" applyFont="1" applyFill="1" applyBorder="1" applyAlignment="1" applyProtection="1">
      <alignment horizontal="left" vertical="center"/>
    </xf>
    <xf numFmtId="0" fontId="52" fillId="0" borderId="0" xfId="0" applyNumberFormat="1" applyFont="1" applyFill="1" applyBorder="1" applyProtection="1"/>
    <xf numFmtId="0" fontId="52" fillId="0" borderId="0" xfId="0" applyFont="1" applyFill="1" applyBorder="1" applyProtection="1"/>
    <xf numFmtId="0" fontId="1" fillId="0" borderId="0" xfId="0" applyFont="1" applyFill="1" applyBorder="1" applyProtection="1"/>
    <xf numFmtId="0" fontId="52" fillId="0" borderId="0" xfId="0" applyFont="1" applyProtection="1"/>
    <xf numFmtId="0" fontId="52" fillId="0" borderId="0" xfId="0" applyFont="1" applyFill="1" applyAlignment="1" applyProtection="1">
      <alignment horizontal="right" vertical="center"/>
    </xf>
    <xf numFmtId="165" fontId="42" fillId="22" borderId="15" xfId="0" applyNumberFormat="1" applyFont="1" applyFill="1" applyBorder="1" applyAlignment="1" applyProtection="1">
      <alignment horizontal="center" vertical="center"/>
    </xf>
    <xf numFmtId="0" fontId="53" fillId="0" borderId="19" xfId="0" applyNumberFormat="1" applyFont="1" applyFill="1" applyBorder="1" applyAlignment="1" applyProtection="1">
      <alignment horizontal="left" vertical="center"/>
    </xf>
    <xf numFmtId="0" fontId="53" fillId="0" borderId="19" xfId="0" applyFont="1" applyFill="1" applyBorder="1" applyAlignment="1" applyProtection="1">
      <alignment horizontal="left" vertical="center"/>
    </xf>
    <xf numFmtId="0" fontId="53" fillId="0" borderId="19" xfId="0" applyFont="1" applyFill="1" applyBorder="1" applyAlignment="1" applyProtection="1">
      <alignment horizontal="center" vertical="center" wrapText="1"/>
    </xf>
    <xf numFmtId="0" fontId="54" fillId="0" borderId="19" xfId="0" applyNumberFormat="1" applyFont="1" applyFill="1" applyBorder="1" applyAlignment="1" applyProtection="1">
      <alignment horizontal="center" vertical="center" wrapText="1"/>
    </xf>
    <xf numFmtId="0" fontId="53" fillId="0" borderId="19" xfId="0" applyFont="1" applyFill="1" applyBorder="1" applyAlignment="1" applyProtection="1">
      <alignment horizontal="center" vertical="center"/>
    </xf>
    <xf numFmtId="0" fontId="42" fillId="0" borderId="20" xfId="0" applyNumberFormat="1" applyFont="1" applyFill="1" applyBorder="1" applyAlignment="1" applyProtection="1">
      <alignment horizontal="center" vertical="center" shrinkToFit="1"/>
    </xf>
    <xf numFmtId="0" fontId="42" fillId="0" borderId="21" xfId="0" applyNumberFormat="1" applyFont="1" applyFill="1" applyBorder="1" applyAlignment="1" applyProtection="1">
      <alignment horizontal="center" vertical="center" shrinkToFit="1"/>
    </xf>
    <xf numFmtId="0" fontId="42" fillId="0" borderId="22" xfId="0" applyNumberFormat="1" applyFont="1" applyFill="1" applyBorder="1" applyAlignment="1" applyProtection="1">
      <alignment horizontal="center" vertical="center" shrinkToFit="1"/>
    </xf>
    <xf numFmtId="0" fontId="1" fillId="0" borderId="0" xfId="0" applyFont="1" applyFill="1" applyBorder="1" applyAlignment="1" applyProtection="1"/>
    <xf numFmtId="0" fontId="55" fillId="0" borderId="0" xfId="0" applyNumberFormat="1" applyFont="1" applyFill="1" applyBorder="1" applyAlignment="1" applyProtection="1">
      <alignment vertical="center"/>
      <protection locked="0"/>
    </xf>
    <xf numFmtId="0" fontId="42" fillId="0" borderId="10" xfId="0" applyFont="1" applyFill="1" applyBorder="1" applyAlignment="1" applyProtection="1">
      <alignment vertical="center" wrapText="1"/>
    </xf>
    <xf numFmtId="0" fontId="47" fillId="0" borderId="11" xfId="0" applyFont="1" applyFill="1" applyBorder="1" applyAlignment="1" applyProtection="1">
      <alignment horizontal="center" vertical="center"/>
    </xf>
    <xf numFmtId="0" fontId="42" fillId="0" borderId="10" xfId="0" applyFont="1" applyFill="1" applyBorder="1" applyAlignment="1" applyProtection="1">
      <alignment horizontal="left" vertical="center" wrapText="1" indent="1"/>
    </xf>
    <xf numFmtId="0" fontId="45" fillId="0" borderId="23" xfId="0" applyNumberFormat="1" applyFont="1" applyFill="1" applyBorder="1" applyAlignment="1" applyProtection="1">
      <alignment horizontal="center" vertical="center"/>
      <protection locked="0"/>
    </xf>
    <xf numFmtId="0" fontId="1" fillId="0" borderId="0" xfId="0" applyFont="1" applyAlignment="1" applyProtection="1">
      <alignment horizontal="right" vertical="center"/>
    </xf>
    <xf numFmtId="0" fontId="57" fillId="0" borderId="0" xfId="0" applyFont="1" applyFill="1" applyBorder="1" applyAlignme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Border="1" applyAlignment="1">
      <alignment horizontal="center" vertical="center"/>
    </xf>
    <xf numFmtId="0" fontId="58" fillId="0" borderId="0" xfId="0" applyFont="1" applyAlignment="1">
      <alignment wrapText="1"/>
    </xf>
    <xf numFmtId="0" fontId="37" fillId="0" borderId="0" xfId="34" applyFont="1" applyAlignment="1" applyProtection="1"/>
    <xf numFmtId="0" fontId="58" fillId="0" borderId="0" xfId="0" applyFont="1" applyAlignment="1">
      <alignment horizontal="left" wrapText="1"/>
    </xf>
    <xf numFmtId="0" fontId="58" fillId="0" borderId="0" xfId="0" applyFont="1" applyAlignment="1">
      <alignment vertical="center" wrapText="1"/>
    </xf>
    <xf numFmtId="0" fontId="58" fillId="0" borderId="0" xfId="0" applyFont="1" applyFill="1" applyBorder="1" applyAlignment="1">
      <alignment vertical="center" wrapText="1"/>
    </xf>
    <xf numFmtId="0" fontId="59" fillId="0" borderId="0" xfId="0" applyFont="1" applyAlignment="1">
      <alignment vertical="center"/>
    </xf>
    <xf numFmtId="0" fontId="59" fillId="0" borderId="0" xfId="0" applyFont="1"/>
    <xf numFmtId="0" fontId="59" fillId="0" borderId="0" xfId="0" applyFont="1" applyAlignment="1"/>
    <xf numFmtId="0" fontId="60" fillId="0" borderId="0" xfId="0" applyFont="1" applyFill="1" applyBorder="1" applyAlignment="1">
      <alignment vertical="center" wrapText="1"/>
    </xf>
    <xf numFmtId="0" fontId="59" fillId="0" borderId="0" xfId="0" applyFont="1" applyBorder="1"/>
    <xf numFmtId="0" fontId="37" fillId="0" borderId="0" xfId="34" applyFont="1" applyFill="1" applyBorder="1" applyAlignment="1" applyProtection="1">
      <alignment vertical="center"/>
    </xf>
    <xf numFmtId="0" fontId="62" fillId="0" borderId="0" xfId="0" applyFont="1" applyAlignment="1">
      <alignment horizontal="right"/>
    </xf>
    <xf numFmtId="0" fontId="58" fillId="0" borderId="0" xfId="0" applyFont="1"/>
    <xf numFmtId="0" fontId="58" fillId="0" borderId="0" xfId="0" applyFont="1" applyAlignment="1"/>
    <xf numFmtId="0" fontId="58" fillId="0" borderId="0" xfId="0" applyFont="1" applyAlignment="1">
      <alignment horizontal="left" indent="1"/>
    </xf>
    <xf numFmtId="0" fontId="58" fillId="0" borderId="0" xfId="0" quotePrefix="1" applyFont="1" applyAlignment="1">
      <alignment horizontal="left" wrapText="1" indent="1"/>
    </xf>
    <xf numFmtId="0" fontId="36" fillId="0" borderId="0" xfId="0" quotePrefix="1" applyFont="1" applyAlignment="1">
      <alignment horizontal="left" indent="1"/>
    </xf>
    <xf numFmtId="0" fontId="62" fillId="0" borderId="0" xfId="0" applyFont="1" applyAlignment="1">
      <alignment horizontal="left" wrapText="1"/>
    </xf>
    <xf numFmtId="0" fontId="58" fillId="0" borderId="0" xfId="0" applyFont="1" applyFill="1" applyBorder="1" applyAlignment="1">
      <alignment horizontal="left" vertical="center" wrapText="1"/>
    </xf>
    <xf numFmtId="0" fontId="64" fillId="0" borderId="0" xfId="0" applyFont="1" applyAlignment="1">
      <alignment horizontal="right"/>
    </xf>
    <xf numFmtId="0" fontId="65" fillId="0" borderId="0" xfId="0" applyFont="1" applyFill="1" applyBorder="1" applyAlignment="1">
      <alignment vertical="center" wrapText="1"/>
    </xf>
    <xf numFmtId="0" fontId="58" fillId="0" borderId="0" xfId="0" quotePrefix="1" applyFont="1" applyAlignment="1">
      <alignment wrapText="1"/>
    </xf>
    <xf numFmtId="0" fontId="65" fillId="0" borderId="0" xfId="0" applyFont="1" applyAlignment="1"/>
    <xf numFmtId="0" fontId="11" fillId="0" borderId="0" xfId="0" applyFont="1" applyAlignment="1" applyProtection="1">
      <protection locked="0"/>
    </xf>
    <xf numFmtId="0" fontId="65" fillId="0" borderId="0" xfId="0" applyFont="1"/>
    <xf numFmtId="0" fontId="64" fillId="0" borderId="0" xfId="0" applyFont="1" applyFill="1" applyBorder="1" applyAlignment="1"/>
    <xf numFmtId="0" fontId="56" fillId="0" borderId="0" xfId="34" applyFont="1" applyBorder="1" applyAlignment="1" applyProtection="1">
      <alignment horizontal="left" vertical="center"/>
    </xf>
    <xf numFmtId="164" fontId="45" fillId="0" borderId="16" xfId="0" applyNumberFormat="1" applyFont="1" applyFill="1" applyBorder="1" applyAlignment="1" applyProtection="1">
      <alignment horizontal="center" vertical="center" shrinkToFit="1"/>
      <protection locked="0"/>
    </xf>
    <xf numFmtId="0" fontId="49" fillId="0" borderId="17" xfId="0" applyNumberFormat="1" applyFont="1" applyFill="1" applyBorder="1" applyAlignment="1" applyProtection="1">
      <alignment horizontal="center" vertical="center"/>
    </xf>
    <xf numFmtId="0" fontId="49" fillId="0" borderId="12" xfId="0" applyNumberFormat="1" applyFont="1" applyFill="1" applyBorder="1" applyAlignment="1" applyProtection="1">
      <alignment horizontal="center" vertical="center"/>
    </xf>
    <xf numFmtId="0" fontId="49" fillId="0" borderId="18" xfId="0" applyNumberFormat="1" applyFont="1" applyFill="1" applyBorder="1" applyAlignment="1" applyProtection="1">
      <alignment horizontal="center" vertical="center"/>
    </xf>
    <xf numFmtId="164" fontId="45" fillId="0" borderId="23" xfId="0" applyNumberFormat="1" applyFont="1" applyFill="1" applyBorder="1" applyAlignment="1" applyProtection="1">
      <alignment horizontal="center" vertical="center" shrinkToFit="1"/>
      <protection locked="0"/>
    </xf>
    <xf numFmtId="167" fontId="45" fillId="0" borderId="17" xfId="0" applyNumberFormat="1" applyFont="1" applyFill="1" applyBorder="1" applyAlignment="1" applyProtection="1">
      <alignment horizontal="center" vertical="center"/>
    </xf>
    <xf numFmtId="167" fontId="45" fillId="0" borderId="12" xfId="0" applyNumberFormat="1" applyFont="1" applyFill="1" applyBorder="1" applyAlignment="1" applyProtection="1">
      <alignment horizontal="center" vertical="center"/>
    </xf>
    <xf numFmtId="167" fontId="45" fillId="0" borderId="18" xfId="0" applyNumberFormat="1" applyFont="1" applyFill="1" applyBorder="1" applyAlignment="1" applyProtection="1">
      <alignment horizontal="center" vertical="center"/>
    </xf>
    <xf numFmtId="0" fontId="57" fillId="0" borderId="0"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59">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
      <border>
        <left style="thin">
          <color rgb="FFC00000"/>
        </left>
        <right style="thin">
          <color rgb="FFC00000"/>
        </right>
        <vertical/>
        <horizontal/>
      </border>
    </dxf>
    <dxf>
      <font>
        <color theme="0"/>
      </font>
      <fill>
        <patternFill>
          <bgColor theme="5"/>
        </patternFill>
      </fill>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232833</xdr:rowOff>
    </xdr:to>
    <xdr:sp macro="" textlink="">
      <xdr:nvSpPr>
        <xdr:cNvPr id="8236" name="Text Box 44" hidden="1">
          <a:extLst>
            <a:ext uri="{FF2B5EF4-FFF2-40B4-BE49-F238E27FC236}">
              <a16:creationId xmlns:a16="http://schemas.microsoft.com/office/drawing/2014/main" xmlns=""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xmlns=""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xmlns="">
              <a:solidFill>
                <a:srgbClr xmlns:mc="http://schemas.openxmlformats.org/markup-compatibility/2006" val="000000" mc:Ignorable="a14" a14:legacySpreadsheetColorIndex="64"/>
              </a:solidFill>
            </a14:hiddenFill>
          </a:ext>
          <a:ext uri="{91240B29-F687-4F45-9708-019B960494DF}">
            <a14:hiddenLine xmlns:a14="http://schemas.microsoft.com/office/drawing/2010/main" xmlns=""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xmlns=""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xmlns=""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codeName="Sheet8">
    <pageSetUpPr fitToPage="1"/>
  </sheetPr>
  <dimension ref="A1:FA60"/>
  <sheetViews>
    <sheetView showGridLines="0" tabSelected="1" zoomScale="55" zoomScaleNormal="55" workbookViewId="0">
      <pane ySplit="7" topLeftCell="A18" activePane="bottomLeft" state="frozen"/>
      <selection pane="bottomLeft" activeCell="F38" sqref="F38"/>
    </sheetView>
  </sheetViews>
  <sheetFormatPr defaultColWidth="9.140625" defaultRowHeight="12.75"/>
  <cols>
    <col min="1" max="1" width="6.85546875" style="5" customWidth="1"/>
    <col min="2" max="2" width="19" style="1" customWidth="1"/>
    <col min="3" max="3" width="7.7109375" style="1" customWidth="1"/>
    <col min="4" max="4" width="6.85546875" style="6" hidden="1" customWidth="1"/>
    <col min="5" max="6" width="12" style="1" customWidth="1"/>
    <col min="7" max="7" width="6" style="1" customWidth="1"/>
    <col min="8" max="8" width="6.7109375" style="1" customWidth="1"/>
    <col min="9" max="9" width="6.42578125" style="1" customWidth="1"/>
    <col min="10" max="10" width="1.85546875" style="1" customWidth="1"/>
    <col min="11" max="66" width="2.42578125" style="1" customWidth="1"/>
    <col min="67" max="115" width="2.42578125" style="3" customWidth="1"/>
    <col min="116" max="117" width="2.5703125" style="3" customWidth="1"/>
    <col min="118" max="129" width="2.42578125" style="3" customWidth="1"/>
    <col min="130" max="16384" width="9.140625" style="3"/>
  </cols>
  <sheetData>
    <row r="1" spans="1:157" ht="30" customHeight="1">
      <c r="A1" s="103" t="s">
        <v>134</v>
      </c>
      <c r="B1" s="45"/>
      <c r="C1" s="45"/>
      <c r="D1" s="45"/>
      <c r="E1" s="45"/>
      <c r="F1" s="45"/>
      <c r="I1" s="108"/>
      <c r="Y1" s="139"/>
      <c r="Z1" s="139"/>
      <c r="AA1" s="139"/>
      <c r="AB1" s="139"/>
      <c r="AC1" s="139"/>
      <c r="AD1" s="139"/>
      <c r="AE1" s="139"/>
      <c r="AF1" s="139"/>
      <c r="AG1" s="139"/>
      <c r="AH1" s="139"/>
      <c r="AI1" s="139"/>
      <c r="AJ1" s="139"/>
      <c r="AK1" s="139"/>
      <c r="AL1" s="139"/>
      <c r="AM1" s="139"/>
      <c r="AN1" s="139"/>
      <c r="AO1" s="139"/>
      <c r="AP1" s="139"/>
      <c r="AQ1" s="139"/>
      <c r="AR1" s="139"/>
      <c r="AS1" s="139"/>
    </row>
    <row r="2" spans="1:157" ht="18" customHeight="1">
      <c r="A2" s="50" t="s">
        <v>135</v>
      </c>
      <c r="B2" s="22"/>
      <c r="C2" s="22"/>
      <c r="D2" s="32"/>
      <c r="E2" s="136"/>
      <c r="F2" s="136"/>
      <c r="H2" s="2"/>
    </row>
    <row r="3" spans="1:157" ht="14.25">
      <c r="A3" s="50"/>
      <c r="B3" s="46"/>
      <c r="C3" s="4"/>
      <c r="D3" s="4"/>
      <c r="E3" s="4"/>
      <c r="F3" s="4"/>
      <c r="G3" s="4"/>
      <c r="H3" s="2"/>
      <c r="K3" s="29"/>
      <c r="L3" s="29"/>
      <c r="M3" s="29"/>
      <c r="N3" s="29"/>
      <c r="O3" s="29"/>
      <c r="P3" s="29"/>
      <c r="Q3" s="29"/>
      <c r="R3" s="29"/>
      <c r="S3" s="29"/>
      <c r="T3" s="29"/>
      <c r="U3" s="29"/>
      <c r="V3" s="29"/>
      <c r="W3" s="29"/>
      <c r="X3" s="29"/>
      <c r="Y3" s="29"/>
      <c r="Z3" s="29"/>
      <c r="AA3" s="29"/>
    </row>
    <row r="4" spans="1:157" ht="17.25" customHeight="1">
      <c r="A4" s="88"/>
      <c r="B4" s="92" t="s">
        <v>69</v>
      </c>
      <c r="C4" s="144">
        <v>43934</v>
      </c>
      <c r="D4" s="144"/>
      <c r="E4" s="144"/>
      <c r="F4" s="89"/>
      <c r="G4" s="92" t="s">
        <v>152</v>
      </c>
      <c r="H4" s="107">
        <v>1</v>
      </c>
      <c r="I4" s="90"/>
      <c r="J4" s="48"/>
      <c r="K4" s="141" t="str">
        <f>"Week "&amp;(K6-($C$4-WEEKDAY($C$4,1)+2))/7+1</f>
        <v>Week 1</v>
      </c>
      <c r="L4" s="142"/>
      <c r="M4" s="142"/>
      <c r="N4" s="142"/>
      <c r="O4" s="142"/>
      <c r="P4" s="142"/>
      <c r="Q4" s="143"/>
      <c r="R4" s="141" t="str">
        <f>"Week "&amp;(R6-($C$4-WEEKDAY($C$4,1)+2))/7+1</f>
        <v>Week 2</v>
      </c>
      <c r="S4" s="142"/>
      <c r="T4" s="142"/>
      <c r="U4" s="142"/>
      <c r="V4" s="142"/>
      <c r="W4" s="142"/>
      <c r="X4" s="143"/>
      <c r="Y4" s="141" t="str">
        <f>"Week "&amp;(Y6-($C$4-WEEKDAY($C$4,1)+2))/7+1</f>
        <v>Week 3</v>
      </c>
      <c r="Z4" s="142"/>
      <c r="AA4" s="142"/>
      <c r="AB4" s="142"/>
      <c r="AC4" s="142"/>
      <c r="AD4" s="142"/>
      <c r="AE4" s="143"/>
      <c r="AF4" s="141" t="str">
        <f>"Week "&amp;(AF6-($C$4-WEEKDAY($C$4,1)+2))/7+1</f>
        <v>Week 4</v>
      </c>
      <c r="AG4" s="142"/>
      <c r="AH4" s="142"/>
      <c r="AI4" s="142"/>
      <c r="AJ4" s="142"/>
      <c r="AK4" s="142"/>
      <c r="AL4" s="143"/>
      <c r="AM4" s="141" t="str">
        <f>"Week "&amp;(AM6-($C$4-WEEKDAY($C$4,1)+2))/7+1</f>
        <v>Week 5</v>
      </c>
      <c r="AN4" s="142"/>
      <c r="AO4" s="142"/>
      <c r="AP4" s="142"/>
      <c r="AQ4" s="142"/>
      <c r="AR4" s="142"/>
      <c r="AS4" s="143"/>
      <c r="AT4" s="141" t="str">
        <f>"Week "&amp;(AT6-($C$4-WEEKDAY($C$4,1)+2))/7+1</f>
        <v>Week 6</v>
      </c>
      <c r="AU4" s="142"/>
      <c r="AV4" s="142"/>
      <c r="AW4" s="142"/>
      <c r="AX4" s="142"/>
      <c r="AY4" s="142"/>
      <c r="AZ4" s="143"/>
      <c r="BA4" s="141" t="str">
        <f>"Week "&amp;(BA6-($C$4-WEEKDAY($C$4,1)+2))/7+1</f>
        <v>Week 7</v>
      </c>
      <c r="BB4" s="142"/>
      <c r="BC4" s="142"/>
      <c r="BD4" s="142"/>
      <c r="BE4" s="142"/>
      <c r="BF4" s="142"/>
      <c r="BG4" s="143"/>
      <c r="BH4" s="141" t="str">
        <f>"Week "&amp;(BH6-($C$4-WEEKDAY($C$4,1)+2))/7+1</f>
        <v>Week 8</v>
      </c>
      <c r="BI4" s="142"/>
      <c r="BJ4" s="142"/>
      <c r="BK4" s="142"/>
      <c r="BL4" s="142"/>
      <c r="BM4" s="142"/>
      <c r="BN4" s="143"/>
      <c r="BO4" s="141" t="str">
        <f>"Week "&amp;(BO6-($C$4-WEEKDAY($C$4,1)+2))/7+1</f>
        <v>Week 9</v>
      </c>
      <c r="BP4" s="142"/>
      <c r="BQ4" s="142"/>
      <c r="BR4" s="142"/>
      <c r="BS4" s="142"/>
      <c r="BT4" s="142"/>
      <c r="BU4" s="143"/>
      <c r="BV4" s="141" t="str">
        <f>"Week "&amp;(BV6-($C$4-WEEKDAY($C$4,1)+2))/7+1</f>
        <v>Week 10</v>
      </c>
      <c r="BW4" s="142"/>
      <c r="BX4" s="142"/>
      <c r="BY4" s="142"/>
      <c r="BZ4" s="142"/>
      <c r="CA4" s="142"/>
      <c r="CB4" s="143"/>
      <c r="CC4" s="141" t="str">
        <f>"Week "&amp;(CC6-($C$4-WEEKDAY($C$4,1)+2))/7+1</f>
        <v>Week 11</v>
      </c>
      <c r="CD4" s="142"/>
      <c r="CE4" s="142"/>
      <c r="CF4" s="142"/>
      <c r="CG4" s="142"/>
      <c r="CH4" s="142"/>
      <c r="CI4" s="143"/>
      <c r="CJ4" s="141" t="str">
        <f>"Week "&amp;(CJ6-($C$4-WEEKDAY($C$4,1)+2))/7+1</f>
        <v>Week 12</v>
      </c>
      <c r="CK4" s="142"/>
      <c r="CL4" s="142"/>
      <c r="CM4" s="142"/>
      <c r="CN4" s="142"/>
      <c r="CO4" s="142"/>
      <c r="CP4" s="143"/>
      <c r="CQ4" s="141" t="str">
        <f>"Week "&amp;(CQ6-($C$4-WEEKDAY($C$4,1)+2))/7+1</f>
        <v>Week 13</v>
      </c>
      <c r="CR4" s="142"/>
      <c r="CS4" s="142"/>
      <c r="CT4" s="142"/>
      <c r="CU4" s="142"/>
      <c r="CV4" s="142"/>
      <c r="CW4" s="143"/>
      <c r="CX4" s="141" t="str">
        <f>"Week "&amp;(CX6-($C$4-WEEKDAY($C$4,1)+2))/7+1</f>
        <v>Week 14</v>
      </c>
      <c r="CY4" s="142"/>
      <c r="CZ4" s="142"/>
      <c r="DA4" s="142"/>
      <c r="DB4" s="142"/>
      <c r="DC4" s="142"/>
      <c r="DD4" s="143"/>
      <c r="DE4" s="141" t="str">
        <f>"Week "&amp;(DE6-($C$4-WEEKDAY($C$4,1)+2))/7+1</f>
        <v>Week 15</v>
      </c>
      <c r="DF4" s="142"/>
      <c r="DG4" s="142"/>
      <c r="DH4" s="142"/>
      <c r="DI4" s="142"/>
      <c r="DJ4" s="142"/>
      <c r="DK4" s="143"/>
      <c r="DL4" s="141" t="str">
        <f>"Week "&amp;(DL6-($C$4-WEEKDAY($C$4,1)+2))/7+1</f>
        <v>Week 16</v>
      </c>
      <c r="DM4" s="142"/>
      <c r="DN4" s="142"/>
      <c r="DO4" s="142"/>
      <c r="DP4" s="142"/>
      <c r="DQ4" s="142"/>
      <c r="DR4" s="143"/>
      <c r="DS4" s="141" t="str">
        <f>"Week "&amp;(DS6-($C$4-WEEKDAY($C$4,1)+2))/7+1</f>
        <v>Week 17</v>
      </c>
      <c r="DT4" s="142"/>
      <c r="DU4" s="142"/>
      <c r="DV4" s="142"/>
      <c r="DW4" s="142"/>
      <c r="DX4" s="142"/>
      <c r="DY4" s="143"/>
      <c r="DZ4" s="141"/>
      <c r="EA4" s="142"/>
      <c r="EB4" s="142"/>
      <c r="EC4" s="142"/>
      <c r="ED4" s="142"/>
      <c r="EE4" s="142"/>
      <c r="EF4" s="143"/>
      <c r="EG4" s="141"/>
      <c r="EH4" s="142"/>
      <c r="EI4" s="142"/>
      <c r="EJ4" s="142"/>
      <c r="EK4" s="142"/>
      <c r="EL4" s="142"/>
      <c r="EM4" s="143"/>
      <c r="EN4" s="141"/>
      <c r="EO4" s="142"/>
      <c r="EP4" s="142"/>
      <c r="EQ4" s="142"/>
      <c r="ER4" s="142"/>
      <c r="ES4" s="142"/>
      <c r="ET4" s="143"/>
      <c r="EU4" s="141"/>
      <c r="EV4" s="142"/>
      <c r="EW4" s="142"/>
      <c r="EX4" s="142"/>
      <c r="EY4" s="142"/>
      <c r="EZ4" s="142"/>
      <c r="FA4" s="143"/>
    </row>
    <row r="5" spans="1:157" ht="17.25" customHeight="1">
      <c r="A5" s="88"/>
      <c r="B5" s="92" t="s">
        <v>70</v>
      </c>
      <c r="C5" s="140" t="s">
        <v>136</v>
      </c>
      <c r="D5" s="140"/>
      <c r="E5" s="140"/>
      <c r="F5" s="91"/>
      <c r="G5" s="91"/>
      <c r="H5" s="91"/>
      <c r="I5" s="91"/>
      <c r="J5" s="48"/>
      <c r="K5" s="145">
        <f>K6</f>
        <v>43934</v>
      </c>
      <c r="L5" s="146"/>
      <c r="M5" s="146"/>
      <c r="N5" s="146"/>
      <c r="O5" s="146"/>
      <c r="P5" s="146"/>
      <c r="Q5" s="147"/>
      <c r="R5" s="145">
        <f>R6</f>
        <v>43941</v>
      </c>
      <c r="S5" s="146"/>
      <c r="T5" s="146"/>
      <c r="U5" s="146"/>
      <c r="V5" s="146"/>
      <c r="W5" s="146"/>
      <c r="X5" s="147"/>
      <c r="Y5" s="145">
        <f>Y6</f>
        <v>43948</v>
      </c>
      <c r="Z5" s="146"/>
      <c r="AA5" s="146"/>
      <c r="AB5" s="146"/>
      <c r="AC5" s="146"/>
      <c r="AD5" s="146"/>
      <c r="AE5" s="147"/>
      <c r="AF5" s="145">
        <f>AF6</f>
        <v>43955</v>
      </c>
      <c r="AG5" s="146"/>
      <c r="AH5" s="146"/>
      <c r="AI5" s="146"/>
      <c r="AJ5" s="146"/>
      <c r="AK5" s="146"/>
      <c r="AL5" s="147"/>
      <c r="AM5" s="145">
        <f>AM6</f>
        <v>43962</v>
      </c>
      <c r="AN5" s="146"/>
      <c r="AO5" s="146"/>
      <c r="AP5" s="146"/>
      <c r="AQ5" s="146"/>
      <c r="AR5" s="146"/>
      <c r="AS5" s="147"/>
      <c r="AT5" s="145">
        <f>AT6</f>
        <v>43969</v>
      </c>
      <c r="AU5" s="146"/>
      <c r="AV5" s="146"/>
      <c r="AW5" s="146"/>
      <c r="AX5" s="146"/>
      <c r="AY5" s="146"/>
      <c r="AZ5" s="147"/>
      <c r="BA5" s="145">
        <f>BA6</f>
        <v>43976</v>
      </c>
      <c r="BB5" s="146"/>
      <c r="BC5" s="146"/>
      <c r="BD5" s="146"/>
      <c r="BE5" s="146"/>
      <c r="BF5" s="146"/>
      <c r="BG5" s="147"/>
      <c r="BH5" s="145">
        <f>BH6</f>
        <v>43983</v>
      </c>
      <c r="BI5" s="146"/>
      <c r="BJ5" s="146"/>
      <c r="BK5" s="146"/>
      <c r="BL5" s="146"/>
      <c r="BM5" s="146"/>
      <c r="BN5" s="147"/>
      <c r="BO5" s="145">
        <f>BO6</f>
        <v>43990</v>
      </c>
      <c r="BP5" s="146"/>
      <c r="BQ5" s="146"/>
      <c r="BR5" s="146"/>
      <c r="BS5" s="146"/>
      <c r="BT5" s="146"/>
      <c r="BU5" s="147"/>
      <c r="BV5" s="145">
        <f>BV6</f>
        <v>43997</v>
      </c>
      <c r="BW5" s="146"/>
      <c r="BX5" s="146"/>
      <c r="BY5" s="146"/>
      <c r="BZ5" s="146"/>
      <c r="CA5" s="146"/>
      <c r="CB5" s="147"/>
      <c r="CC5" s="145">
        <f>CC6</f>
        <v>44004</v>
      </c>
      <c r="CD5" s="146"/>
      <c r="CE5" s="146"/>
      <c r="CF5" s="146"/>
      <c r="CG5" s="146"/>
      <c r="CH5" s="146"/>
      <c r="CI5" s="147"/>
      <c r="CJ5" s="145">
        <f>CJ6</f>
        <v>44011</v>
      </c>
      <c r="CK5" s="146"/>
      <c r="CL5" s="146"/>
      <c r="CM5" s="146"/>
      <c r="CN5" s="146"/>
      <c r="CO5" s="146"/>
      <c r="CP5" s="147"/>
      <c r="CQ5" s="145">
        <f>CQ6</f>
        <v>44018</v>
      </c>
      <c r="CR5" s="146"/>
      <c r="CS5" s="146"/>
      <c r="CT5" s="146"/>
      <c r="CU5" s="146"/>
      <c r="CV5" s="146"/>
      <c r="CW5" s="147"/>
      <c r="CX5" s="145">
        <f>CX6</f>
        <v>44025</v>
      </c>
      <c r="CY5" s="146"/>
      <c r="CZ5" s="146"/>
      <c r="DA5" s="146"/>
      <c r="DB5" s="146"/>
      <c r="DC5" s="146"/>
      <c r="DD5" s="147"/>
      <c r="DE5" s="145">
        <f>DE6</f>
        <v>44032</v>
      </c>
      <c r="DF5" s="146"/>
      <c r="DG5" s="146"/>
      <c r="DH5" s="146"/>
      <c r="DI5" s="146"/>
      <c r="DJ5" s="146"/>
      <c r="DK5" s="147"/>
      <c r="DL5" s="145">
        <f>DL6</f>
        <v>44039</v>
      </c>
      <c r="DM5" s="146"/>
      <c r="DN5" s="146"/>
      <c r="DO5" s="146"/>
      <c r="DP5" s="146"/>
      <c r="DQ5" s="146"/>
      <c r="DR5" s="147"/>
      <c r="DS5" s="145">
        <f>DS6</f>
        <v>44046</v>
      </c>
      <c r="DT5" s="146"/>
      <c r="DU5" s="146"/>
      <c r="DV5" s="146"/>
      <c r="DW5" s="146"/>
      <c r="DX5" s="146"/>
      <c r="DY5" s="147"/>
      <c r="DZ5" s="145"/>
      <c r="EA5" s="146"/>
      <c r="EB5" s="146"/>
      <c r="EC5" s="146"/>
      <c r="ED5" s="146"/>
      <c r="EE5" s="146"/>
      <c r="EF5" s="147"/>
      <c r="EG5" s="145"/>
      <c r="EH5" s="146"/>
      <c r="EI5" s="146"/>
      <c r="EJ5" s="146"/>
      <c r="EK5" s="146"/>
      <c r="EL5" s="146"/>
      <c r="EM5" s="147"/>
      <c r="EN5" s="145"/>
      <c r="EO5" s="146"/>
      <c r="EP5" s="146"/>
      <c r="EQ5" s="146"/>
      <c r="ER5" s="146"/>
      <c r="ES5" s="146"/>
      <c r="ET5" s="147"/>
      <c r="EU5" s="145"/>
      <c r="EV5" s="146"/>
      <c r="EW5" s="146"/>
      <c r="EX5" s="146"/>
      <c r="EY5" s="146"/>
      <c r="EZ5" s="146"/>
      <c r="FA5" s="147"/>
    </row>
    <row r="6" spans="1:157">
      <c r="A6" s="47"/>
      <c r="B6" s="48"/>
      <c r="C6" s="48"/>
      <c r="D6" s="49"/>
      <c r="E6" s="48"/>
      <c r="F6" s="48"/>
      <c r="G6" s="48"/>
      <c r="H6" s="48"/>
      <c r="I6" s="48"/>
      <c r="J6" s="48"/>
      <c r="K6" s="74">
        <f>C4-WEEKDAY(C4,1)+2+7*(H4-1)</f>
        <v>43934</v>
      </c>
      <c r="L6" s="65">
        <f t="shared" ref="L6:AQ6" si="0">K6+1</f>
        <v>43935</v>
      </c>
      <c r="M6" s="65">
        <f t="shared" si="0"/>
        <v>43936</v>
      </c>
      <c r="N6" s="65">
        <f t="shared" si="0"/>
        <v>43937</v>
      </c>
      <c r="O6" s="65">
        <f t="shared" si="0"/>
        <v>43938</v>
      </c>
      <c r="P6" s="65">
        <f t="shared" si="0"/>
        <v>43939</v>
      </c>
      <c r="Q6" s="75">
        <f t="shared" si="0"/>
        <v>43940</v>
      </c>
      <c r="R6" s="74">
        <f t="shared" si="0"/>
        <v>43941</v>
      </c>
      <c r="S6" s="65">
        <f t="shared" si="0"/>
        <v>43942</v>
      </c>
      <c r="T6" s="65">
        <f t="shared" si="0"/>
        <v>43943</v>
      </c>
      <c r="U6" s="65">
        <f t="shared" si="0"/>
        <v>43944</v>
      </c>
      <c r="V6" s="65">
        <f t="shared" si="0"/>
        <v>43945</v>
      </c>
      <c r="W6" s="65">
        <f t="shared" si="0"/>
        <v>43946</v>
      </c>
      <c r="X6" s="75">
        <f t="shared" si="0"/>
        <v>43947</v>
      </c>
      <c r="Y6" s="74">
        <f t="shared" si="0"/>
        <v>43948</v>
      </c>
      <c r="Z6" s="65">
        <f t="shared" si="0"/>
        <v>43949</v>
      </c>
      <c r="AA6" s="65">
        <f t="shared" si="0"/>
        <v>43950</v>
      </c>
      <c r="AB6" s="65">
        <f t="shared" si="0"/>
        <v>43951</v>
      </c>
      <c r="AC6" s="65">
        <f t="shared" si="0"/>
        <v>43952</v>
      </c>
      <c r="AD6" s="65">
        <f t="shared" si="0"/>
        <v>43953</v>
      </c>
      <c r="AE6" s="75">
        <f t="shared" si="0"/>
        <v>43954</v>
      </c>
      <c r="AF6" s="74">
        <f t="shared" si="0"/>
        <v>43955</v>
      </c>
      <c r="AG6" s="65">
        <f t="shared" si="0"/>
        <v>43956</v>
      </c>
      <c r="AH6" s="65">
        <f t="shared" si="0"/>
        <v>43957</v>
      </c>
      <c r="AI6" s="65">
        <f t="shared" si="0"/>
        <v>43958</v>
      </c>
      <c r="AJ6" s="65">
        <f t="shared" si="0"/>
        <v>43959</v>
      </c>
      <c r="AK6" s="65">
        <f t="shared" si="0"/>
        <v>43960</v>
      </c>
      <c r="AL6" s="75">
        <f t="shared" si="0"/>
        <v>43961</v>
      </c>
      <c r="AM6" s="74">
        <f t="shared" si="0"/>
        <v>43962</v>
      </c>
      <c r="AN6" s="65">
        <f t="shared" si="0"/>
        <v>43963</v>
      </c>
      <c r="AO6" s="65">
        <f t="shared" si="0"/>
        <v>43964</v>
      </c>
      <c r="AP6" s="65">
        <f t="shared" si="0"/>
        <v>43965</v>
      </c>
      <c r="AQ6" s="65">
        <f t="shared" si="0"/>
        <v>43966</v>
      </c>
      <c r="AR6" s="65">
        <f t="shared" ref="AR6:BG6" si="1">AQ6+1</f>
        <v>43967</v>
      </c>
      <c r="AS6" s="75">
        <f t="shared" si="1"/>
        <v>43968</v>
      </c>
      <c r="AT6" s="74">
        <f t="shared" si="1"/>
        <v>43969</v>
      </c>
      <c r="AU6" s="65">
        <f t="shared" si="1"/>
        <v>43970</v>
      </c>
      <c r="AV6" s="65">
        <f t="shared" si="1"/>
        <v>43971</v>
      </c>
      <c r="AW6" s="65">
        <f t="shared" si="1"/>
        <v>43972</v>
      </c>
      <c r="AX6" s="65">
        <f t="shared" si="1"/>
        <v>43973</v>
      </c>
      <c r="AY6" s="65">
        <f t="shared" si="1"/>
        <v>43974</v>
      </c>
      <c r="AZ6" s="75">
        <f t="shared" si="1"/>
        <v>43975</v>
      </c>
      <c r="BA6" s="74">
        <f t="shared" si="1"/>
        <v>43976</v>
      </c>
      <c r="BB6" s="65">
        <f t="shared" si="1"/>
        <v>43977</v>
      </c>
      <c r="BC6" s="65">
        <f t="shared" si="1"/>
        <v>43978</v>
      </c>
      <c r="BD6" s="65">
        <f t="shared" si="1"/>
        <v>43979</v>
      </c>
      <c r="BE6" s="65">
        <f t="shared" si="1"/>
        <v>43980</v>
      </c>
      <c r="BF6" s="65">
        <f t="shared" si="1"/>
        <v>43981</v>
      </c>
      <c r="BG6" s="75">
        <f t="shared" si="1"/>
        <v>43982</v>
      </c>
      <c r="BH6" s="74">
        <f t="shared" ref="BH6:BN6" si="2">BG6+1</f>
        <v>43983</v>
      </c>
      <c r="BI6" s="65">
        <f t="shared" si="2"/>
        <v>43984</v>
      </c>
      <c r="BJ6" s="65">
        <f t="shared" si="2"/>
        <v>43985</v>
      </c>
      <c r="BK6" s="65">
        <f t="shared" si="2"/>
        <v>43986</v>
      </c>
      <c r="BL6" s="65">
        <f t="shared" si="2"/>
        <v>43987</v>
      </c>
      <c r="BM6" s="65">
        <f t="shared" si="2"/>
        <v>43988</v>
      </c>
      <c r="BN6" s="75">
        <f t="shared" si="2"/>
        <v>43989</v>
      </c>
      <c r="BO6" s="74">
        <f t="shared" ref="BO6" si="3">BN6+1</f>
        <v>43990</v>
      </c>
      <c r="BP6" s="65">
        <f t="shared" ref="BP6" si="4">BO6+1</f>
        <v>43991</v>
      </c>
      <c r="BQ6" s="65">
        <f t="shared" ref="BQ6" si="5">BP6+1</f>
        <v>43992</v>
      </c>
      <c r="BR6" s="65">
        <f t="shared" ref="BR6" si="6">BQ6+1</f>
        <v>43993</v>
      </c>
      <c r="BS6" s="65">
        <f t="shared" ref="BS6" si="7">BR6+1</f>
        <v>43994</v>
      </c>
      <c r="BT6" s="65">
        <f t="shared" ref="BT6" si="8">BS6+1</f>
        <v>43995</v>
      </c>
      <c r="BU6" s="75">
        <f t="shared" ref="BU6" si="9">BT6+1</f>
        <v>43996</v>
      </c>
      <c r="BV6" s="74">
        <f t="shared" ref="BV6" si="10">BU6+1</f>
        <v>43997</v>
      </c>
      <c r="BW6" s="65">
        <f t="shared" ref="BW6" si="11">BV6+1</f>
        <v>43998</v>
      </c>
      <c r="BX6" s="65">
        <f t="shared" ref="BX6" si="12">BW6+1</f>
        <v>43999</v>
      </c>
      <c r="BY6" s="65">
        <f t="shared" ref="BY6" si="13">BX6+1</f>
        <v>44000</v>
      </c>
      <c r="BZ6" s="65">
        <f t="shared" ref="BZ6" si="14">BY6+1</f>
        <v>44001</v>
      </c>
      <c r="CA6" s="65">
        <f t="shared" ref="CA6" si="15">BZ6+1</f>
        <v>44002</v>
      </c>
      <c r="CB6" s="75">
        <f t="shared" ref="CB6" si="16">CA6+1</f>
        <v>44003</v>
      </c>
      <c r="CC6" s="74">
        <f t="shared" ref="CC6" si="17">CB6+1</f>
        <v>44004</v>
      </c>
      <c r="CD6" s="65">
        <f t="shared" ref="CD6" si="18">CC6+1</f>
        <v>44005</v>
      </c>
      <c r="CE6" s="65">
        <f t="shared" ref="CE6" si="19">CD6+1</f>
        <v>44006</v>
      </c>
      <c r="CF6" s="65">
        <f t="shared" ref="CF6" si="20">CE6+1</f>
        <v>44007</v>
      </c>
      <c r="CG6" s="65">
        <f t="shared" ref="CG6" si="21">CF6+1</f>
        <v>44008</v>
      </c>
      <c r="CH6" s="65">
        <f t="shared" ref="CH6" si="22">CG6+1</f>
        <v>44009</v>
      </c>
      <c r="CI6" s="75">
        <f t="shared" ref="CI6" si="23">CH6+1</f>
        <v>44010</v>
      </c>
      <c r="CJ6" s="74">
        <f t="shared" ref="CJ6" si="24">CI6+1</f>
        <v>44011</v>
      </c>
      <c r="CK6" s="65">
        <f t="shared" ref="CK6" si="25">CJ6+1</f>
        <v>44012</v>
      </c>
      <c r="CL6" s="65">
        <f t="shared" ref="CL6" si="26">CK6+1</f>
        <v>44013</v>
      </c>
      <c r="CM6" s="65">
        <f t="shared" ref="CM6" si="27">CL6+1</f>
        <v>44014</v>
      </c>
      <c r="CN6" s="65">
        <f t="shared" ref="CN6" si="28">CM6+1</f>
        <v>44015</v>
      </c>
      <c r="CO6" s="65">
        <f t="shared" ref="CO6" si="29">CN6+1</f>
        <v>44016</v>
      </c>
      <c r="CP6" s="75">
        <f t="shared" ref="CP6" si="30">CO6+1</f>
        <v>44017</v>
      </c>
      <c r="CQ6" s="74">
        <f t="shared" ref="CQ6" si="31">CP6+1</f>
        <v>44018</v>
      </c>
      <c r="CR6" s="65">
        <f t="shared" ref="CR6" si="32">CQ6+1</f>
        <v>44019</v>
      </c>
      <c r="CS6" s="65">
        <f t="shared" ref="CS6" si="33">CR6+1</f>
        <v>44020</v>
      </c>
      <c r="CT6" s="65">
        <f t="shared" ref="CT6" si="34">CS6+1</f>
        <v>44021</v>
      </c>
      <c r="CU6" s="65">
        <f t="shared" ref="CU6" si="35">CT6+1</f>
        <v>44022</v>
      </c>
      <c r="CV6" s="65">
        <f t="shared" ref="CV6" si="36">CU6+1</f>
        <v>44023</v>
      </c>
      <c r="CW6" s="75">
        <f t="shared" ref="CW6" si="37">CV6+1</f>
        <v>44024</v>
      </c>
      <c r="CX6" s="74">
        <f t="shared" ref="CX6" si="38">CW6+1</f>
        <v>44025</v>
      </c>
      <c r="CY6" s="65">
        <f t="shared" ref="CY6" si="39">CX6+1</f>
        <v>44026</v>
      </c>
      <c r="CZ6" s="65">
        <f t="shared" ref="CZ6" si="40">CY6+1</f>
        <v>44027</v>
      </c>
      <c r="DA6" s="65">
        <f t="shared" ref="DA6" si="41">CZ6+1</f>
        <v>44028</v>
      </c>
      <c r="DB6" s="65">
        <f t="shared" ref="DB6" si="42">DA6+1</f>
        <v>44029</v>
      </c>
      <c r="DC6" s="65">
        <f t="shared" ref="DC6" si="43">DB6+1</f>
        <v>44030</v>
      </c>
      <c r="DD6" s="75">
        <f t="shared" ref="DD6" si="44">DC6+1</f>
        <v>44031</v>
      </c>
      <c r="DE6" s="74">
        <f t="shared" ref="DE6" si="45">DD6+1</f>
        <v>44032</v>
      </c>
      <c r="DF6" s="65">
        <f t="shared" ref="DF6" si="46">DE6+1</f>
        <v>44033</v>
      </c>
      <c r="DG6" s="65">
        <f t="shared" ref="DG6" si="47">DF6+1</f>
        <v>44034</v>
      </c>
      <c r="DH6" s="65">
        <f t="shared" ref="DH6" si="48">DG6+1</f>
        <v>44035</v>
      </c>
      <c r="DI6" s="65">
        <f t="shared" ref="DI6" si="49">DH6+1</f>
        <v>44036</v>
      </c>
      <c r="DJ6" s="65">
        <f t="shared" ref="DJ6" si="50">DI6+1</f>
        <v>44037</v>
      </c>
      <c r="DK6" s="75">
        <f t="shared" ref="DK6" si="51">DJ6+1</f>
        <v>44038</v>
      </c>
      <c r="DL6" s="74">
        <f t="shared" ref="DL6" si="52">DK6+1</f>
        <v>44039</v>
      </c>
      <c r="DM6" s="65">
        <f t="shared" ref="DM6" si="53">DL6+1</f>
        <v>44040</v>
      </c>
      <c r="DN6" s="65">
        <f t="shared" ref="DN6" si="54">DM6+1</f>
        <v>44041</v>
      </c>
      <c r="DO6" s="65">
        <f t="shared" ref="DO6" si="55">DN6+1</f>
        <v>44042</v>
      </c>
      <c r="DP6" s="65">
        <f t="shared" ref="DP6" si="56">DO6+1</f>
        <v>44043</v>
      </c>
      <c r="DQ6" s="65">
        <f t="shared" ref="DQ6" si="57">DP6+1</f>
        <v>44044</v>
      </c>
      <c r="DR6" s="75">
        <f t="shared" ref="DR6" si="58">DQ6+1</f>
        <v>44045</v>
      </c>
      <c r="DS6" s="74">
        <f t="shared" ref="DS6" si="59">DR6+1</f>
        <v>44046</v>
      </c>
      <c r="DT6" s="65">
        <f t="shared" ref="DT6" si="60">DS6+1</f>
        <v>44047</v>
      </c>
      <c r="DU6" s="65">
        <f t="shared" ref="DU6" si="61">DT6+1</f>
        <v>44048</v>
      </c>
      <c r="DV6" s="65">
        <f t="shared" ref="DV6" si="62">DU6+1</f>
        <v>44049</v>
      </c>
      <c r="DW6" s="65">
        <f t="shared" ref="DW6" si="63">DV6+1</f>
        <v>44050</v>
      </c>
      <c r="DX6" s="65">
        <f t="shared" ref="DX6" si="64">DW6+1</f>
        <v>44051</v>
      </c>
      <c r="DY6" s="75">
        <f t="shared" ref="DY6" si="65">DX6+1</f>
        <v>44052</v>
      </c>
      <c r="DZ6" s="74"/>
      <c r="EA6" s="65"/>
      <c r="EB6" s="65"/>
      <c r="EC6" s="65"/>
      <c r="ED6" s="65"/>
      <c r="EE6" s="65"/>
      <c r="EF6" s="75"/>
      <c r="EG6" s="74"/>
      <c r="EH6" s="65"/>
      <c r="EI6" s="65"/>
      <c r="EJ6" s="65"/>
      <c r="EK6" s="65"/>
      <c r="EL6" s="65"/>
      <c r="EM6" s="75"/>
      <c r="EN6" s="74"/>
      <c r="EO6" s="65"/>
      <c r="EP6" s="65"/>
      <c r="EQ6" s="65"/>
      <c r="ER6" s="65"/>
      <c r="ES6" s="65"/>
      <c r="ET6" s="75"/>
      <c r="EU6" s="74"/>
      <c r="EV6" s="65"/>
      <c r="EW6" s="65"/>
      <c r="EX6" s="65"/>
      <c r="EY6" s="65"/>
      <c r="EZ6" s="65"/>
      <c r="FA6" s="75"/>
    </row>
    <row r="7" spans="1:157" s="102" customFormat="1" ht="24.75" thickBot="1">
      <c r="A7" s="94" t="s">
        <v>0</v>
      </c>
      <c r="B7" s="95" t="s">
        <v>61</v>
      </c>
      <c r="C7" s="96" t="s">
        <v>62</v>
      </c>
      <c r="D7" s="97" t="s">
        <v>68</v>
      </c>
      <c r="E7" s="98" t="s">
        <v>63</v>
      </c>
      <c r="F7" s="98" t="s">
        <v>64</v>
      </c>
      <c r="G7" s="96" t="s">
        <v>65</v>
      </c>
      <c r="H7" s="96" t="s">
        <v>66</v>
      </c>
      <c r="I7" s="96" t="s">
        <v>67</v>
      </c>
      <c r="J7" s="96"/>
      <c r="K7" s="99" t="str">
        <f t="shared" ref="K7:AP7" si="66">CHOOSE(WEEKDAY(K6,1),"S","M","T","W","T","F","S")</f>
        <v>M</v>
      </c>
      <c r="L7" s="65" t="s">
        <v>151</v>
      </c>
      <c r="M7" s="100" t="str">
        <f t="shared" si="66"/>
        <v>W</v>
      </c>
      <c r="N7" s="100" t="str">
        <f t="shared" si="66"/>
        <v>T</v>
      </c>
      <c r="O7" s="100" t="str">
        <f t="shared" si="66"/>
        <v>F</v>
      </c>
      <c r="P7" s="100" t="str">
        <f t="shared" si="66"/>
        <v>S</v>
      </c>
      <c r="Q7" s="101" t="str">
        <f t="shared" si="66"/>
        <v>S</v>
      </c>
      <c r="R7" s="99" t="str">
        <f t="shared" si="66"/>
        <v>M</v>
      </c>
      <c r="S7" s="100" t="str">
        <f t="shared" si="66"/>
        <v>T</v>
      </c>
      <c r="T7" s="100" t="str">
        <f t="shared" si="66"/>
        <v>W</v>
      </c>
      <c r="U7" s="100" t="str">
        <f t="shared" si="66"/>
        <v>T</v>
      </c>
      <c r="V7" s="100" t="str">
        <f t="shared" si="66"/>
        <v>F</v>
      </c>
      <c r="W7" s="100" t="str">
        <f t="shared" si="66"/>
        <v>S</v>
      </c>
      <c r="X7" s="101" t="str">
        <f t="shared" si="66"/>
        <v>S</v>
      </c>
      <c r="Y7" s="99" t="str">
        <f t="shared" si="66"/>
        <v>M</v>
      </c>
      <c r="Z7" s="100" t="str">
        <f t="shared" si="66"/>
        <v>T</v>
      </c>
      <c r="AA7" s="100" t="str">
        <f t="shared" si="66"/>
        <v>W</v>
      </c>
      <c r="AB7" s="100" t="str">
        <f t="shared" si="66"/>
        <v>T</v>
      </c>
      <c r="AC7" s="100" t="str">
        <f t="shared" si="66"/>
        <v>F</v>
      </c>
      <c r="AD7" s="100" t="str">
        <f t="shared" si="66"/>
        <v>S</v>
      </c>
      <c r="AE7" s="101" t="str">
        <f t="shared" si="66"/>
        <v>S</v>
      </c>
      <c r="AF7" s="99" t="str">
        <f t="shared" si="66"/>
        <v>M</v>
      </c>
      <c r="AG7" s="100" t="str">
        <f>CHOOSE(WEEKDAY(AG6,1),"S","M","T","W","T","F","S")</f>
        <v>T</v>
      </c>
      <c r="AH7" s="100" t="str">
        <f t="shared" si="66"/>
        <v>W</v>
      </c>
      <c r="AI7" s="100" t="str">
        <f t="shared" si="66"/>
        <v>T</v>
      </c>
      <c r="AJ7" s="100" t="str">
        <f t="shared" si="66"/>
        <v>F</v>
      </c>
      <c r="AK7" s="100" t="str">
        <f t="shared" si="66"/>
        <v>S</v>
      </c>
      <c r="AL7" s="101" t="str">
        <f t="shared" si="66"/>
        <v>S</v>
      </c>
      <c r="AM7" s="99" t="str">
        <f t="shared" si="66"/>
        <v>M</v>
      </c>
      <c r="AN7" s="100" t="str">
        <f t="shared" si="66"/>
        <v>T</v>
      </c>
      <c r="AO7" s="100" t="str">
        <f t="shared" si="66"/>
        <v>W</v>
      </c>
      <c r="AP7" s="100" t="str">
        <f t="shared" si="66"/>
        <v>T</v>
      </c>
      <c r="AQ7" s="100" t="str">
        <f t="shared" ref="AQ7:BG7" si="67">CHOOSE(WEEKDAY(AQ6,1),"S","M","T","W","T","F","S")</f>
        <v>F</v>
      </c>
      <c r="AR7" s="100" t="str">
        <f t="shared" si="67"/>
        <v>S</v>
      </c>
      <c r="AS7" s="101" t="str">
        <f t="shared" si="67"/>
        <v>S</v>
      </c>
      <c r="AT7" s="99" t="str">
        <f t="shared" si="67"/>
        <v>M</v>
      </c>
      <c r="AU7" s="100" t="str">
        <f t="shared" si="67"/>
        <v>T</v>
      </c>
      <c r="AV7" s="100" t="str">
        <f t="shared" si="67"/>
        <v>W</v>
      </c>
      <c r="AW7" s="100" t="str">
        <f t="shared" si="67"/>
        <v>T</v>
      </c>
      <c r="AX7" s="100" t="str">
        <f t="shared" si="67"/>
        <v>F</v>
      </c>
      <c r="AY7" s="100" t="str">
        <f t="shared" si="67"/>
        <v>S</v>
      </c>
      <c r="AZ7" s="101" t="str">
        <f t="shared" si="67"/>
        <v>S</v>
      </c>
      <c r="BA7" s="99" t="str">
        <f t="shared" si="67"/>
        <v>M</v>
      </c>
      <c r="BB7" s="100" t="str">
        <f t="shared" si="67"/>
        <v>T</v>
      </c>
      <c r="BC7" s="100" t="str">
        <f t="shared" si="67"/>
        <v>W</v>
      </c>
      <c r="BD7" s="100" t="str">
        <f t="shared" si="67"/>
        <v>T</v>
      </c>
      <c r="BE7" s="100" t="str">
        <f t="shared" si="67"/>
        <v>F</v>
      </c>
      <c r="BF7" s="100" t="str">
        <f t="shared" si="67"/>
        <v>S</v>
      </c>
      <c r="BG7" s="101" t="str">
        <f t="shared" si="67"/>
        <v>S</v>
      </c>
      <c r="BH7" s="99" t="str">
        <f t="shared" ref="BH7:BN7" si="68">CHOOSE(WEEKDAY(BH6,1),"S","M","T","W","T","F","S")</f>
        <v>M</v>
      </c>
      <c r="BI7" s="100" t="str">
        <f t="shared" si="68"/>
        <v>T</v>
      </c>
      <c r="BJ7" s="100" t="str">
        <f t="shared" si="68"/>
        <v>W</v>
      </c>
      <c r="BK7" s="100" t="str">
        <f t="shared" si="68"/>
        <v>T</v>
      </c>
      <c r="BL7" s="100" t="str">
        <f t="shared" si="68"/>
        <v>F</v>
      </c>
      <c r="BM7" s="100" t="str">
        <f t="shared" si="68"/>
        <v>S</v>
      </c>
      <c r="BN7" s="101" t="str">
        <f t="shared" si="68"/>
        <v>S</v>
      </c>
      <c r="BO7" s="99" t="str">
        <f t="shared" ref="BO7:CW7" si="69">CHOOSE(WEEKDAY(BO6,1),"S","M","T","W","T","F","S")</f>
        <v>M</v>
      </c>
      <c r="BP7" s="100" t="str">
        <f t="shared" si="69"/>
        <v>T</v>
      </c>
      <c r="BQ7" s="100" t="str">
        <f t="shared" si="69"/>
        <v>W</v>
      </c>
      <c r="BR7" s="100" t="str">
        <f t="shared" si="69"/>
        <v>T</v>
      </c>
      <c r="BS7" s="100" t="str">
        <f t="shared" si="69"/>
        <v>F</v>
      </c>
      <c r="BT7" s="100" t="str">
        <f t="shared" si="69"/>
        <v>S</v>
      </c>
      <c r="BU7" s="101" t="str">
        <f t="shared" si="69"/>
        <v>S</v>
      </c>
      <c r="BV7" s="99" t="str">
        <f t="shared" si="69"/>
        <v>M</v>
      </c>
      <c r="BW7" s="100" t="str">
        <f t="shared" si="69"/>
        <v>T</v>
      </c>
      <c r="BX7" s="100" t="str">
        <f t="shared" si="69"/>
        <v>W</v>
      </c>
      <c r="BY7" s="100" t="str">
        <f t="shared" si="69"/>
        <v>T</v>
      </c>
      <c r="BZ7" s="100" t="str">
        <f t="shared" si="69"/>
        <v>F</v>
      </c>
      <c r="CA7" s="100" t="str">
        <f t="shared" si="69"/>
        <v>S</v>
      </c>
      <c r="CB7" s="101" t="str">
        <f t="shared" si="69"/>
        <v>S</v>
      </c>
      <c r="CC7" s="99" t="str">
        <f t="shared" si="69"/>
        <v>M</v>
      </c>
      <c r="CD7" s="100" t="str">
        <f t="shared" si="69"/>
        <v>T</v>
      </c>
      <c r="CE7" s="100" t="str">
        <f t="shared" si="69"/>
        <v>W</v>
      </c>
      <c r="CF7" s="100" t="str">
        <f t="shared" si="69"/>
        <v>T</v>
      </c>
      <c r="CG7" s="100" t="str">
        <f t="shared" si="69"/>
        <v>F</v>
      </c>
      <c r="CH7" s="100" t="str">
        <f t="shared" si="69"/>
        <v>S</v>
      </c>
      <c r="CI7" s="101" t="str">
        <f t="shared" si="69"/>
        <v>S</v>
      </c>
      <c r="CJ7" s="99" t="str">
        <f t="shared" si="69"/>
        <v>M</v>
      </c>
      <c r="CK7" s="100" t="str">
        <f t="shared" si="69"/>
        <v>T</v>
      </c>
      <c r="CL7" s="100" t="str">
        <f t="shared" si="69"/>
        <v>W</v>
      </c>
      <c r="CM7" s="100" t="str">
        <f t="shared" si="69"/>
        <v>T</v>
      </c>
      <c r="CN7" s="100" t="str">
        <f t="shared" si="69"/>
        <v>F</v>
      </c>
      <c r="CO7" s="100" t="str">
        <f t="shared" si="69"/>
        <v>S</v>
      </c>
      <c r="CP7" s="101" t="str">
        <f t="shared" si="69"/>
        <v>S</v>
      </c>
      <c r="CQ7" s="99" t="str">
        <f t="shared" si="69"/>
        <v>M</v>
      </c>
      <c r="CR7" s="100" t="str">
        <f t="shared" si="69"/>
        <v>T</v>
      </c>
      <c r="CS7" s="100" t="str">
        <f t="shared" si="69"/>
        <v>W</v>
      </c>
      <c r="CT7" s="100" t="str">
        <f t="shared" si="69"/>
        <v>T</v>
      </c>
      <c r="CU7" s="100" t="str">
        <f t="shared" si="69"/>
        <v>F</v>
      </c>
      <c r="CV7" s="100" t="str">
        <f t="shared" si="69"/>
        <v>S</v>
      </c>
      <c r="CW7" s="101" t="str">
        <f t="shared" si="69"/>
        <v>S</v>
      </c>
      <c r="CX7" s="99" t="str">
        <f t="shared" ref="CX7:DY7" si="70">CHOOSE(WEEKDAY(CX6,1),"S","M","T","W","T","F","S")</f>
        <v>M</v>
      </c>
      <c r="CY7" s="100" t="str">
        <f t="shared" si="70"/>
        <v>T</v>
      </c>
      <c r="CZ7" s="100" t="str">
        <f t="shared" si="70"/>
        <v>W</v>
      </c>
      <c r="DA7" s="100" t="str">
        <f t="shared" si="70"/>
        <v>T</v>
      </c>
      <c r="DB7" s="100" t="str">
        <f t="shared" si="70"/>
        <v>F</v>
      </c>
      <c r="DC7" s="100" t="str">
        <f t="shared" si="70"/>
        <v>S</v>
      </c>
      <c r="DD7" s="101" t="str">
        <f t="shared" si="70"/>
        <v>S</v>
      </c>
      <c r="DE7" s="99" t="str">
        <f t="shared" si="70"/>
        <v>M</v>
      </c>
      <c r="DF7" s="100" t="str">
        <f t="shared" si="70"/>
        <v>T</v>
      </c>
      <c r="DG7" s="100" t="str">
        <f t="shared" si="70"/>
        <v>W</v>
      </c>
      <c r="DH7" s="100" t="str">
        <f t="shared" si="70"/>
        <v>T</v>
      </c>
      <c r="DI7" s="100" t="str">
        <f t="shared" si="70"/>
        <v>F</v>
      </c>
      <c r="DJ7" s="100" t="str">
        <f t="shared" si="70"/>
        <v>S</v>
      </c>
      <c r="DK7" s="101" t="str">
        <f t="shared" si="70"/>
        <v>S</v>
      </c>
      <c r="DL7" s="99" t="str">
        <f t="shared" si="70"/>
        <v>M</v>
      </c>
      <c r="DM7" s="100" t="str">
        <f t="shared" si="70"/>
        <v>T</v>
      </c>
      <c r="DN7" s="100" t="str">
        <f t="shared" si="70"/>
        <v>W</v>
      </c>
      <c r="DO7" s="100" t="str">
        <f t="shared" si="70"/>
        <v>T</v>
      </c>
      <c r="DP7" s="100" t="str">
        <f t="shared" si="70"/>
        <v>F</v>
      </c>
      <c r="DQ7" s="100" t="str">
        <f t="shared" si="70"/>
        <v>S</v>
      </c>
      <c r="DR7" s="101" t="str">
        <f t="shared" si="70"/>
        <v>S</v>
      </c>
      <c r="DS7" s="99" t="str">
        <f t="shared" si="70"/>
        <v>M</v>
      </c>
      <c r="DT7" s="100" t="str">
        <f t="shared" si="70"/>
        <v>T</v>
      </c>
      <c r="DU7" s="100" t="str">
        <f t="shared" si="70"/>
        <v>W</v>
      </c>
      <c r="DV7" s="100" t="str">
        <f t="shared" si="70"/>
        <v>T</v>
      </c>
      <c r="DW7" s="100" t="str">
        <f t="shared" si="70"/>
        <v>F</v>
      </c>
      <c r="DX7" s="100" t="str">
        <f t="shared" si="70"/>
        <v>S</v>
      </c>
      <c r="DY7" s="101" t="str">
        <f t="shared" si="70"/>
        <v>S</v>
      </c>
      <c r="DZ7" s="99"/>
      <c r="EA7" s="100"/>
      <c r="EB7" s="100"/>
      <c r="EC7" s="100"/>
      <c r="ED7" s="100"/>
      <c r="EE7" s="100"/>
      <c r="EF7" s="101"/>
      <c r="EG7" s="99"/>
      <c r="EH7" s="100"/>
      <c r="EI7" s="100"/>
      <c r="EJ7" s="100"/>
      <c r="EK7" s="100"/>
      <c r="EL7" s="100"/>
      <c r="EM7" s="101"/>
      <c r="EN7" s="99"/>
      <c r="EO7" s="100"/>
      <c r="EP7" s="100"/>
      <c r="EQ7" s="100"/>
      <c r="ER7" s="100"/>
      <c r="ES7" s="100"/>
      <c r="ET7" s="101"/>
      <c r="EU7" s="99"/>
      <c r="EV7" s="100"/>
      <c r="EW7" s="100"/>
      <c r="EX7" s="100"/>
      <c r="EY7" s="100"/>
      <c r="EZ7" s="100"/>
      <c r="FA7" s="101"/>
    </row>
    <row r="8" spans="1:157" s="53" customFormat="1" ht="18">
      <c r="A8" s="66" t="str">
        <f>IF(ISERROR(VALUE(SUBSTITUTE(prevWBS,".",""))),"1",IF(ISERROR(FIND("`",SUBSTITUTE(prevWBS,".","`",1))),TEXT(VALUE(prevWBS)+1,"#"),TEXT(VALUE(LEFT(prevWBS,FIND("`",SUBSTITUTE(prevWBS,".","`",1))-1))+1,"#")))</f>
        <v>1</v>
      </c>
      <c r="B8" s="67" t="s">
        <v>130</v>
      </c>
      <c r="C8" s="68"/>
      <c r="D8" s="69"/>
      <c r="E8" s="70"/>
      <c r="F8" s="93" t="str">
        <f>IF(ISBLANK(E8)," - ",IF(G8=0,E8,E8+G8-1))</f>
        <v xml:space="preserve"> - </v>
      </c>
      <c r="G8" s="71"/>
      <c r="H8" s="72"/>
      <c r="I8" s="73" t="str">
        <f t="shared" ref="I8:I35" si="71">IF(OR(F8=0,E8=0)," - ",NETWORKDAYS(E8,F8))</f>
        <v xml:space="preserve"> - </v>
      </c>
      <c r="J8" s="76"/>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c r="BN8" s="84"/>
      <c r="BO8" s="84"/>
      <c r="BP8" s="84"/>
      <c r="BQ8" s="84"/>
      <c r="BR8" s="84"/>
      <c r="BS8" s="84"/>
      <c r="BT8" s="84"/>
      <c r="BU8" s="84"/>
      <c r="BV8" s="84"/>
      <c r="BW8" s="84"/>
      <c r="BX8" s="84"/>
      <c r="BY8" s="84"/>
      <c r="BZ8" s="84"/>
      <c r="CA8" s="84"/>
      <c r="CB8" s="84"/>
      <c r="CC8" s="84"/>
      <c r="CD8" s="84"/>
      <c r="CE8" s="84"/>
      <c r="CF8" s="84"/>
      <c r="CG8" s="84"/>
      <c r="CH8" s="84"/>
      <c r="CI8" s="84"/>
      <c r="CJ8" s="84"/>
      <c r="CK8" s="84"/>
      <c r="CL8" s="84"/>
      <c r="CM8" s="84"/>
      <c r="CN8" s="84"/>
      <c r="CO8" s="84"/>
      <c r="CP8" s="84"/>
      <c r="CQ8" s="84"/>
      <c r="CR8" s="84"/>
      <c r="CS8" s="84"/>
      <c r="CT8" s="84"/>
      <c r="CU8" s="84"/>
      <c r="CV8" s="84"/>
      <c r="CW8" s="84"/>
      <c r="CX8" s="84"/>
      <c r="CY8" s="84"/>
      <c r="CZ8" s="84"/>
      <c r="DA8" s="84"/>
      <c r="DB8" s="84"/>
      <c r="DC8" s="84"/>
      <c r="DD8" s="84"/>
      <c r="DE8" s="84"/>
      <c r="DF8" s="84"/>
      <c r="DG8" s="84"/>
      <c r="DH8" s="84"/>
      <c r="DI8" s="84"/>
      <c r="DJ8" s="84"/>
      <c r="DK8" s="84"/>
      <c r="DL8" s="84"/>
      <c r="DM8" s="84"/>
      <c r="DN8" s="84"/>
      <c r="DO8" s="84"/>
      <c r="DP8" s="84"/>
      <c r="DQ8" s="84"/>
      <c r="DR8" s="84"/>
      <c r="DS8" s="84"/>
      <c r="DT8" s="84"/>
      <c r="DU8" s="84"/>
      <c r="DV8" s="84"/>
      <c r="DW8" s="84"/>
      <c r="DX8" s="84"/>
      <c r="DY8" s="84"/>
    </row>
    <row r="9" spans="1:157" s="59" customFormat="1" ht="24">
      <c r="A9" s="58" t="str">
        <f t="shared" ref="A9:A17" si="7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04" t="s">
        <v>137</v>
      </c>
      <c r="C9" s="59" t="s">
        <v>138</v>
      </c>
      <c r="D9" s="105"/>
      <c r="E9" s="81">
        <v>43934</v>
      </c>
      <c r="F9" s="82">
        <f>IF(ISBLANK(E9)," - ",IF(G9=0,E9,E9+G9-1))</f>
        <v>43937</v>
      </c>
      <c r="G9" s="60">
        <v>4</v>
      </c>
      <c r="H9" s="61">
        <v>1</v>
      </c>
      <c r="I9" s="62">
        <f t="shared" si="71"/>
        <v>4</v>
      </c>
      <c r="J9" s="77"/>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row>
    <row r="10" spans="1:157" s="59" customFormat="1" ht="24">
      <c r="A10" s="58" t="str">
        <f t="shared" si="72"/>
        <v>1.2</v>
      </c>
      <c r="B10" s="104" t="s">
        <v>139</v>
      </c>
      <c r="C10" s="59" t="s">
        <v>138</v>
      </c>
      <c r="D10" s="105"/>
      <c r="E10" s="81">
        <v>43938</v>
      </c>
      <c r="F10" s="82">
        <f>IF(ISBLANK(E10)," - ",IF(G10=0,E10,E10+G10-1))</f>
        <v>43941</v>
      </c>
      <c r="G10" s="60">
        <v>4</v>
      </c>
      <c r="H10" s="61">
        <v>1</v>
      </c>
      <c r="I10" s="62">
        <f t="shared" si="71"/>
        <v>2</v>
      </c>
      <c r="J10" s="77"/>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row>
    <row r="11" spans="1:157" s="59" customFormat="1" ht="17.45" hidden="1" customHeight="1">
      <c r="A11" s="58" t="str">
        <f t="shared" si="72"/>
        <v>1.3</v>
      </c>
      <c r="B11" s="104" t="s">
        <v>7</v>
      </c>
      <c r="D11" s="105"/>
      <c r="E11" s="81">
        <v>43139</v>
      </c>
      <c r="F11" s="82">
        <f t="shared" ref="F11:F35" si="73">IF(ISBLANK(E11)," - ",IF(G11=0,E11,E11+G11-1))</f>
        <v>43142</v>
      </c>
      <c r="G11" s="60">
        <v>4</v>
      </c>
      <c r="H11" s="61">
        <v>0</v>
      </c>
      <c r="I11" s="62">
        <f t="shared" si="71"/>
        <v>2</v>
      </c>
      <c r="J11" s="77"/>
      <c r="K11" s="85"/>
      <c r="L11" s="85"/>
      <c r="M11" s="86"/>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row>
    <row r="12" spans="1:157" s="59" customFormat="1" ht="17.45" hidden="1" customHeight="1">
      <c r="A12" s="58" t="str">
        <f t="shared" si="72"/>
        <v>1.4</v>
      </c>
      <c r="B12" s="104" t="s">
        <v>7</v>
      </c>
      <c r="D12" s="105"/>
      <c r="E12" s="81">
        <v>43132</v>
      </c>
      <c r="F12" s="82">
        <f t="shared" si="73"/>
        <v>43135</v>
      </c>
      <c r="G12" s="60">
        <v>4</v>
      </c>
      <c r="H12" s="61">
        <v>0.75</v>
      </c>
      <c r="I12" s="62">
        <f t="shared" si="71"/>
        <v>2</v>
      </c>
      <c r="J12" s="77"/>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row>
    <row r="13" spans="1:157" s="59" customFormat="1" ht="17.45" hidden="1" customHeight="1">
      <c r="A13" s="58"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106" t="s">
        <v>125</v>
      </c>
      <c r="D13" s="105"/>
      <c r="E13" s="81">
        <v>43133</v>
      </c>
      <c r="F13" s="82">
        <f t="shared" si="73"/>
        <v>43134</v>
      </c>
      <c r="G13" s="60">
        <v>2</v>
      </c>
      <c r="H13" s="61">
        <v>0.5</v>
      </c>
      <c r="I13" s="62">
        <f t="shared" si="71"/>
        <v>1</v>
      </c>
      <c r="J13" s="77"/>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row>
    <row r="14" spans="1:157" s="59" customFormat="1" ht="17.45" hidden="1" customHeight="1">
      <c r="A14" s="58"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106" t="s">
        <v>125</v>
      </c>
      <c r="D14" s="105"/>
      <c r="E14" s="81">
        <v>43135</v>
      </c>
      <c r="F14" s="82">
        <f t="shared" si="73"/>
        <v>43137</v>
      </c>
      <c r="G14" s="60">
        <v>3</v>
      </c>
      <c r="H14" s="61">
        <v>0.5</v>
      </c>
      <c r="I14" s="62">
        <f t="shared" si="71"/>
        <v>2</v>
      </c>
      <c r="J14" s="77"/>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row>
    <row r="15" spans="1:157" s="59" customFormat="1" ht="17.45" hidden="1" customHeight="1">
      <c r="A15" s="58" t="str">
        <f t="shared" si="72"/>
        <v>1.5</v>
      </c>
      <c r="B15" s="104" t="s">
        <v>7</v>
      </c>
      <c r="D15" s="105"/>
      <c r="E15" s="81">
        <v>43136</v>
      </c>
      <c r="F15" s="82">
        <f t="shared" si="73"/>
        <v>43140</v>
      </c>
      <c r="G15" s="60">
        <v>5</v>
      </c>
      <c r="H15" s="61">
        <v>0</v>
      </c>
      <c r="I15" s="62">
        <f t="shared" si="71"/>
        <v>5</v>
      </c>
      <c r="J15" s="77"/>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c r="CY15" s="85"/>
      <c r="CZ15" s="85"/>
      <c r="DA15" s="85"/>
      <c r="DB15" s="85"/>
      <c r="DC15" s="85"/>
      <c r="DD15" s="85"/>
      <c r="DE15" s="85"/>
      <c r="DF15" s="85"/>
      <c r="DG15" s="85"/>
      <c r="DH15" s="85"/>
      <c r="DI15" s="85"/>
      <c r="DJ15" s="85"/>
      <c r="DK15" s="85"/>
      <c r="DL15" s="85"/>
      <c r="DM15" s="85"/>
      <c r="DN15" s="85"/>
      <c r="DO15" s="85"/>
      <c r="DP15" s="85"/>
      <c r="DQ15" s="85"/>
      <c r="DR15" s="85"/>
      <c r="DS15" s="85"/>
      <c r="DT15" s="85"/>
      <c r="DU15" s="85"/>
      <c r="DV15" s="85"/>
      <c r="DW15" s="85"/>
      <c r="DX15" s="85"/>
      <c r="DY15" s="85"/>
    </row>
    <row r="16" spans="1:157" s="59" customFormat="1" ht="17.45" hidden="1" customHeight="1">
      <c r="A16" s="58" t="str">
        <f t="shared" si="72"/>
        <v>1.6</v>
      </c>
      <c r="B16" s="104" t="s">
        <v>7</v>
      </c>
      <c r="D16" s="105"/>
      <c r="E16" s="81">
        <v>43134</v>
      </c>
      <c r="F16" s="82">
        <f t="shared" si="73"/>
        <v>43140</v>
      </c>
      <c r="G16" s="60">
        <v>7</v>
      </c>
      <c r="H16" s="61">
        <v>0</v>
      </c>
      <c r="I16" s="62">
        <f t="shared" si="71"/>
        <v>5</v>
      </c>
      <c r="J16" s="77"/>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c r="DV16" s="85"/>
      <c r="DW16" s="85"/>
      <c r="DX16" s="85"/>
      <c r="DY16" s="85"/>
    </row>
    <row r="17" spans="1:129" s="59" customFormat="1" ht="17.45" hidden="1" customHeight="1">
      <c r="A17" s="58" t="str">
        <f t="shared" si="72"/>
        <v>1.7</v>
      </c>
      <c r="B17" s="104" t="s">
        <v>7</v>
      </c>
      <c r="D17" s="105"/>
      <c r="E17" s="81">
        <v>43141</v>
      </c>
      <c r="F17" s="82">
        <f t="shared" si="73"/>
        <v>43147</v>
      </c>
      <c r="G17" s="60">
        <v>7</v>
      </c>
      <c r="H17" s="61">
        <v>0</v>
      </c>
      <c r="I17" s="62">
        <f t="shared" si="71"/>
        <v>5</v>
      </c>
      <c r="J17" s="77"/>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row>
    <row r="18" spans="1:129" s="53" customFormat="1" ht="18">
      <c r="A18" s="51" t="str">
        <f>IF(ISERROR(VALUE(SUBSTITUTE(prevWBS,".",""))),"1",IF(ISERROR(FIND("`",SUBSTITUTE(prevWBS,".","`",1))),TEXT(VALUE(prevWBS)+1,"#"),TEXT(VALUE(LEFT(prevWBS,FIND("`",SUBSTITUTE(prevWBS,".","`",1))-1))+1,"#")))</f>
        <v>2</v>
      </c>
      <c r="B18" s="52" t="s">
        <v>131</v>
      </c>
      <c r="D18" s="54"/>
      <c r="E18" s="83"/>
      <c r="F18" s="83" t="str">
        <f t="shared" si="73"/>
        <v xml:space="preserve"> - </v>
      </c>
      <c r="G18" s="55"/>
      <c r="H18" s="56"/>
      <c r="I18" s="57" t="str">
        <f t="shared" si="71"/>
        <v xml:space="preserve"> - </v>
      </c>
      <c r="J18" s="78"/>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row>
    <row r="19" spans="1:129" s="59" customFormat="1" ht="156">
      <c r="A19"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104" t="s">
        <v>140</v>
      </c>
      <c r="C19" s="59" t="s">
        <v>138</v>
      </c>
      <c r="D19" s="105"/>
      <c r="E19" s="81">
        <v>43942</v>
      </c>
      <c r="F19" s="82">
        <f>IF(ISBLANK(E19)," - ",IF(G19=0,E19,E19+G19-1))</f>
        <v>43949</v>
      </c>
      <c r="G19" s="60">
        <v>8</v>
      </c>
      <c r="H19" s="61">
        <v>1</v>
      </c>
      <c r="I19" s="62">
        <f t="shared" si="71"/>
        <v>6</v>
      </c>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row>
    <row r="20" spans="1:129" s="59" customFormat="1" ht="72">
      <c r="A20"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0" s="104" t="s">
        <v>141</v>
      </c>
      <c r="C20" s="59" t="s">
        <v>138</v>
      </c>
      <c r="D20" s="105"/>
      <c r="E20" s="81">
        <v>43950</v>
      </c>
      <c r="F20" s="82">
        <f t="shared" si="73"/>
        <v>43955</v>
      </c>
      <c r="G20" s="60">
        <v>6</v>
      </c>
      <c r="H20" s="61">
        <v>1</v>
      </c>
      <c r="I20" s="62">
        <f t="shared" si="71"/>
        <v>4</v>
      </c>
      <c r="J20" s="77"/>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row>
    <row r="21" spans="1:129" s="59" customFormat="1" ht="19.149999999999999" hidden="1" customHeight="1">
      <c r="A21"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1" s="104" t="s">
        <v>7</v>
      </c>
      <c r="D21" s="105"/>
      <c r="E21" s="81">
        <v>43145</v>
      </c>
      <c r="F21" s="82">
        <f t="shared" si="73"/>
        <v>43147</v>
      </c>
      <c r="G21" s="60">
        <v>3</v>
      </c>
      <c r="H21" s="61">
        <v>0</v>
      </c>
      <c r="I21" s="62">
        <f t="shared" si="71"/>
        <v>3</v>
      </c>
      <c r="J21" s="77"/>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c r="CY21" s="85"/>
      <c r="CZ21" s="85"/>
      <c r="DA21" s="85"/>
      <c r="DB21" s="85"/>
      <c r="DC21" s="85"/>
      <c r="DD21" s="85"/>
      <c r="DE21" s="85"/>
      <c r="DF21" s="85"/>
      <c r="DG21" s="85"/>
      <c r="DH21" s="85"/>
      <c r="DI21" s="85"/>
      <c r="DJ21" s="85"/>
      <c r="DK21" s="85"/>
      <c r="DL21" s="85"/>
      <c r="DM21" s="85"/>
      <c r="DN21" s="85"/>
      <c r="DO21" s="85"/>
      <c r="DP21" s="85"/>
      <c r="DQ21" s="85"/>
      <c r="DR21" s="85"/>
      <c r="DS21" s="85"/>
      <c r="DT21" s="85"/>
      <c r="DU21" s="85"/>
      <c r="DV21" s="85"/>
      <c r="DW21" s="85"/>
      <c r="DX21" s="85"/>
      <c r="DY21" s="85"/>
    </row>
    <row r="22" spans="1:129" s="59" customFormat="1" ht="17.45" hidden="1" customHeight="1">
      <c r="A22"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2" s="104" t="s">
        <v>7</v>
      </c>
      <c r="D22" s="105"/>
      <c r="E22" s="81">
        <v>43148</v>
      </c>
      <c r="F22" s="82">
        <f t="shared" si="73"/>
        <v>43153</v>
      </c>
      <c r="G22" s="60">
        <v>6</v>
      </c>
      <c r="H22" s="61">
        <v>0</v>
      </c>
      <c r="I22" s="62">
        <f t="shared" si="71"/>
        <v>4</v>
      </c>
      <c r="J22" s="77"/>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c r="DU22" s="85"/>
      <c r="DV22" s="85"/>
      <c r="DW22" s="85"/>
      <c r="DX22" s="85"/>
      <c r="DY22" s="85"/>
    </row>
    <row r="23" spans="1:129" s="59" customFormat="1" ht="15.6" hidden="1" customHeight="1">
      <c r="A23"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3" s="104" t="s">
        <v>7</v>
      </c>
      <c r="D23" s="105"/>
      <c r="E23" s="81">
        <v>43154</v>
      </c>
      <c r="F23" s="82">
        <f t="shared" si="73"/>
        <v>43156</v>
      </c>
      <c r="G23" s="60">
        <v>3</v>
      </c>
      <c r="H23" s="61">
        <v>0</v>
      </c>
      <c r="I23" s="62">
        <f t="shared" si="71"/>
        <v>1</v>
      </c>
      <c r="J23" s="77"/>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c r="CY23" s="85"/>
      <c r="CZ23" s="85"/>
      <c r="DA23" s="85"/>
      <c r="DB23" s="85"/>
      <c r="DC23" s="85"/>
      <c r="DD23" s="85"/>
      <c r="DE23" s="85"/>
      <c r="DF23" s="85"/>
      <c r="DG23" s="85"/>
      <c r="DH23" s="85"/>
      <c r="DI23" s="85"/>
      <c r="DJ23" s="85"/>
      <c r="DK23" s="85"/>
      <c r="DL23" s="85"/>
      <c r="DM23" s="85"/>
      <c r="DN23" s="85"/>
      <c r="DO23" s="85"/>
      <c r="DP23" s="85"/>
      <c r="DQ23" s="85"/>
      <c r="DR23" s="85"/>
      <c r="DS23" s="85"/>
      <c r="DT23" s="85"/>
      <c r="DU23" s="85"/>
      <c r="DV23" s="85"/>
      <c r="DW23" s="85"/>
      <c r="DX23" s="85"/>
      <c r="DY23" s="85"/>
    </row>
    <row r="24" spans="1:129" s="53" customFormat="1" ht="18">
      <c r="A24" s="51" t="str">
        <f>IF(ISERROR(VALUE(SUBSTITUTE(prevWBS,".",""))),"1",IF(ISERROR(FIND("`",SUBSTITUTE(prevWBS,".","`",1))),TEXT(VALUE(prevWBS)+1,"#"),TEXT(VALUE(LEFT(prevWBS,FIND("`",SUBSTITUTE(prevWBS,".","`",1))-1))+1,"#")))</f>
        <v>3</v>
      </c>
      <c r="B24" s="52" t="s">
        <v>132</v>
      </c>
      <c r="D24" s="54"/>
      <c r="E24" s="83"/>
      <c r="F24" s="83" t="str">
        <f t="shared" si="73"/>
        <v xml:space="preserve"> - </v>
      </c>
      <c r="G24" s="55"/>
      <c r="H24" s="56"/>
      <c r="I24" s="57" t="str">
        <f t="shared" si="71"/>
        <v xml:space="preserve"> - </v>
      </c>
      <c r="J24" s="78"/>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c r="CY24" s="87"/>
      <c r="CZ24" s="87"/>
      <c r="DA24" s="87"/>
      <c r="DB24" s="87"/>
      <c r="DC24" s="87"/>
      <c r="DD24" s="87"/>
      <c r="DE24" s="87"/>
      <c r="DF24" s="87"/>
      <c r="DG24" s="87"/>
      <c r="DH24" s="87"/>
      <c r="DI24" s="87"/>
      <c r="DJ24" s="87"/>
      <c r="DK24" s="87"/>
      <c r="DL24" s="87"/>
      <c r="DM24" s="87"/>
      <c r="DN24" s="87"/>
      <c r="DO24" s="87"/>
      <c r="DP24" s="87"/>
      <c r="DQ24" s="87"/>
      <c r="DR24" s="87"/>
      <c r="DS24" s="87"/>
      <c r="DT24" s="87"/>
      <c r="DU24" s="87"/>
      <c r="DV24" s="87"/>
      <c r="DW24" s="87"/>
      <c r="DX24" s="87"/>
      <c r="DY24" s="87"/>
    </row>
    <row r="25" spans="1:129" s="59" customFormat="1" ht="72">
      <c r="A25"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5" s="104" t="s">
        <v>142</v>
      </c>
      <c r="C25" s="59" t="s">
        <v>138</v>
      </c>
      <c r="D25" s="105"/>
      <c r="E25" s="81">
        <v>43956</v>
      </c>
      <c r="F25" s="82">
        <f t="shared" si="73"/>
        <v>43969</v>
      </c>
      <c r="G25" s="60">
        <v>14</v>
      </c>
      <c r="H25" s="61">
        <v>1</v>
      </c>
      <c r="I25" s="62">
        <f t="shared" si="71"/>
        <v>10</v>
      </c>
      <c r="J25" s="77"/>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row>
    <row r="26" spans="1:129" s="59" customFormat="1" ht="36">
      <c r="A26"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6" s="104" t="s">
        <v>143</v>
      </c>
      <c r="C26" s="59" t="s">
        <v>138</v>
      </c>
      <c r="D26" s="105"/>
      <c r="E26" s="81">
        <v>43970</v>
      </c>
      <c r="F26" s="82">
        <f t="shared" si="73"/>
        <v>43976</v>
      </c>
      <c r="G26" s="60">
        <v>7</v>
      </c>
      <c r="H26" s="61">
        <v>1</v>
      </c>
      <c r="I26" s="62">
        <f t="shared" si="71"/>
        <v>5</v>
      </c>
      <c r="J26" s="77"/>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c r="CY26" s="85"/>
      <c r="CZ26" s="85"/>
      <c r="DA26" s="85"/>
      <c r="DB26" s="85"/>
      <c r="DC26" s="85"/>
      <c r="DD26" s="85"/>
      <c r="DE26" s="85"/>
      <c r="DF26" s="85"/>
      <c r="DG26" s="85"/>
      <c r="DH26" s="85"/>
      <c r="DI26" s="85"/>
      <c r="DJ26" s="85"/>
      <c r="DK26" s="85"/>
      <c r="DL26" s="85"/>
      <c r="DM26" s="85"/>
      <c r="DN26" s="85"/>
      <c r="DO26" s="85"/>
      <c r="DP26" s="85"/>
      <c r="DQ26" s="85"/>
      <c r="DR26" s="85"/>
      <c r="DS26" s="85"/>
      <c r="DT26" s="85"/>
      <c r="DU26" s="85"/>
      <c r="DV26" s="85"/>
      <c r="DW26" s="85"/>
      <c r="DX26" s="85"/>
      <c r="DY26" s="85"/>
    </row>
    <row r="27" spans="1:129" s="59" customFormat="1" ht="72">
      <c r="A27"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7" s="104" t="s">
        <v>144</v>
      </c>
      <c r="C27" s="59" t="s">
        <v>138</v>
      </c>
      <c r="D27" s="105"/>
      <c r="E27" s="81">
        <v>43977</v>
      </c>
      <c r="F27" s="82">
        <f t="shared" si="73"/>
        <v>43988</v>
      </c>
      <c r="G27" s="60">
        <v>12</v>
      </c>
      <c r="H27" s="61">
        <v>1</v>
      </c>
      <c r="I27" s="62">
        <f t="shared" si="71"/>
        <v>9</v>
      </c>
      <c r="J27" s="77"/>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c r="CY27" s="85"/>
      <c r="CZ27" s="85"/>
      <c r="DA27" s="85"/>
      <c r="DB27" s="85"/>
      <c r="DC27" s="85"/>
      <c r="DD27" s="85"/>
      <c r="DE27" s="85"/>
      <c r="DF27" s="85"/>
      <c r="DG27" s="85"/>
      <c r="DH27" s="85"/>
      <c r="DI27" s="85"/>
      <c r="DJ27" s="85"/>
      <c r="DK27" s="85"/>
      <c r="DL27" s="85"/>
      <c r="DM27" s="85"/>
      <c r="DN27" s="85"/>
      <c r="DO27" s="85"/>
      <c r="DP27" s="85"/>
      <c r="DQ27" s="85"/>
      <c r="DR27" s="85"/>
      <c r="DS27" s="85"/>
      <c r="DT27" s="85"/>
      <c r="DU27" s="85"/>
      <c r="DV27" s="85"/>
      <c r="DW27" s="85"/>
      <c r="DX27" s="85"/>
      <c r="DY27" s="85"/>
    </row>
    <row r="28" spans="1:129" s="59" customFormat="1" ht="48">
      <c r="A28"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8" s="104" t="s">
        <v>145</v>
      </c>
      <c r="C28" s="59" t="s">
        <v>138</v>
      </c>
      <c r="D28" s="105"/>
      <c r="E28" s="81">
        <v>43989</v>
      </c>
      <c r="F28" s="82">
        <f t="shared" si="73"/>
        <v>44000</v>
      </c>
      <c r="G28" s="60">
        <v>12</v>
      </c>
      <c r="H28" s="61">
        <v>1</v>
      </c>
      <c r="I28" s="62">
        <f t="shared" si="71"/>
        <v>9</v>
      </c>
      <c r="J28" s="77"/>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c r="CY28" s="85"/>
      <c r="CZ28" s="85"/>
      <c r="DA28" s="85"/>
      <c r="DB28" s="85"/>
      <c r="DC28" s="85"/>
      <c r="DD28" s="85"/>
      <c r="DE28" s="85"/>
      <c r="DF28" s="85"/>
      <c r="DG28" s="85"/>
      <c r="DH28" s="85"/>
      <c r="DI28" s="85"/>
      <c r="DJ28" s="85"/>
      <c r="DK28" s="85"/>
      <c r="DL28" s="85"/>
      <c r="DM28" s="85"/>
      <c r="DN28" s="85"/>
      <c r="DO28" s="85"/>
      <c r="DP28" s="85"/>
      <c r="DQ28" s="85"/>
      <c r="DR28" s="85"/>
      <c r="DS28" s="85"/>
      <c r="DT28" s="85"/>
      <c r="DU28" s="85"/>
      <c r="DV28" s="85"/>
      <c r="DW28" s="85"/>
      <c r="DX28" s="85"/>
      <c r="DY28" s="85"/>
    </row>
    <row r="29" spans="1:129" s="59" customFormat="1" ht="17.45" hidden="1" customHeight="1">
      <c r="A29"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9" s="104" t="s">
        <v>7</v>
      </c>
      <c r="D29" s="105"/>
      <c r="E29" s="81">
        <v>43154</v>
      </c>
      <c r="F29" s="82">
        <f t="shared" si="73"/>
        <v>43156</v>
      </c>
      <c r="G29" s="60">
        <v>3</v>
      </c>
      <c r="H29" s="61">
        <v>0</v>
      </c>
      <c r="I29" s="62">
        <f t="shared" si="71"/>
        <v>1</v>
      </c>
      <c r="J29" s="77"/>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c r="CY29" s="85"/>
      <c r="CZ29" s="85"/>
      <c r="DA29" s="85"/>
      <c r="DB29" s="85"/>
      <c r="DC29" s="85"/>
      <c r="DD29" s="85"/>
      <c r="DE29" s="85"/>
      <c r="DF29" s="85"/>
      <c r="DG29" s="85"/>
      <c r="DH29" s="85"/>
      <c r="DI29" s="85"/>
      <c r="DJ29" s="85"/>
      <c r="DK29" s="85"/>
      <c r="DL29" s="85"/>
      <c r="DM29" s="85"/>
      <c r="DN29" s="85"/>
      <c r="DO29" s="85"/>
      <c r="DP29" s="85"/>
      <c r="DQ29" s="85"/>
      <c r="DR29" s="85"/>
      <c r="DS29" s="85"/>
      <c r="DT29" s="85"/>
      <c r="DU29" s="85"/>
      <c r="DV29" s="85"/>
      <c r="DW29" s="85"/>
      <c r="DX29" s="85"/>
      <c r="DY29" s="85"/>
    </row>
    <row r="30" spans="1:129" s="53" customFormat="1" ht="18">
      <c r="A30" s="51" t="str">
        <f>IF(ISERROR(VALUE(SUBSTITUTE(prevWBS,".",""))),"1",IF(ISERROR(FIND("`",SUBSTITUTE(prevWBS,".","`",1))),TEXT(VALUE(prevWBS)+1,"#"),TEXT(VALUE(LEFT(prevWBS,FIND("`",SUBSTITUTE(prevWBS,".","`",1))-1))+1,"#")))</f>
        <v>4</v>
      </c>
      <c r="B30" s="52" t="s">
        <v>132</v>
      </c>
      <c r="D30" s="54"/>
      <c r="E30" s="83"/>
      <c r="F30" s="83" t="str">
        <f t="shared" ref="F30:F32" si="74">IF(ISBLANK(E30)," - ",IF(G30=0,E30,E30+G30-1))</f>
        <v xml:space="preserve"> - </v>
      </c>
      <c r="G30" s="55"/>
      <c r="H30" s="56"/>
      <c r="I30" s="57" t="str">
        <f t="shared" ref="I30:I32" si="75">IF(OR(F30=0,E30=0)," - ",NETWORKDAYS(E30,F30))</f>
        <v xml:space="preserve"> - </v>
      </c>
      <c r="J30" s="78"/>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row>
    <row r="31" spans="1:129" s="59" customFormat="1" ht="24">
      <c r="A31"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104" t="s">
        <v>146</v>
      </c>
      <c r="C31" s="59" t="s">
        <v>138</v>
      </c>
      <c r="D31" s="105"/>
      <c r="E31" s="81">
        <v>44000</v>
      </c>
      <c r="F31" s="82">
        <f t="shared" si="74"/>
        <v>44013</v>
      </c>
      <c r="G31" s="60">
        <v>14</v>
      </c>
      <c r="H31" s="61">
        <v>1</v>
      </c>
      <c r="I31" s="62">
        <f t="shared" si="75"/>
        <v>10</v>
      </c>
      <c r="J31" s="77"/>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c r="CY31" s="85"/>
      <c r="CZ31" s="85"/>
      <c r="DA31" s="85"/>
      <c r="DB31" s="85"/>
      <c r="DC31" s="85"/>
      <c r="DD31" s="85"/>
      <c r="DE31" s="85"/>
      <c r="DF31" s="85"/>
      <c r="DG31" s="85"/>
      <c r="DH31" s="85"/>
      <c r="DI31" s="85"/>
      <c r="DJ31" s="85"/>
      <c r="DK31" s="85"/>
      <c r="DL31" s="85"/>
      <c r="DM31" s="85"/>
      <c r="DN31" s="85"/>
      <c r="DO31" s="85"/>
      <c r="DP31" s="85"/>
      <c r="DQ31" s="85"/>
      <c r="DR31" s="85"/>
      <c r="DS31" s="85"/>
      <c r="DT31" s="85"/>
      <c r="DU31" s="85"/>
      <c r="DV31" s="85"/>
      <c r="DW31" s="85"/>
      <c r="DX31" s="85"/>
      <c r="DY31" s="85"/>
    </row>
    <row r="32" spans="1:129" s="59" customFormat="1" ht="60">
      <c r="A32"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104" t="s">
        <v>147</v>
      </c>
      <c r="C32" s="59" t="s">
        <v>138</v>
      </c>
      <c r="D32" s="105"/>
      <c r="E32" s="81">
        <v>44014</v>
      </c>
      <c r="F32" s="82">
        <f t="shared" si="74"/>
        <v>44025</v>
      </c>
      <c r="G32" s="60">
        <v>12</v>
      </c>
      <c r="H32" s="61">
        <v>1</v>
      </c>
      <c r="I32" s="62">
        <f t="shared" si="75"/>
        <v>8</v>
      </c>
      <c r="J32" s="77"/>
      <c r="K32" s="85"/>
      <c r="L32" s="85"/>
      <c r="M32" s="85"/>
      <c r="N32" s="85"/>
      <c r="O32" s="85"/>
      <c r="P32" s="85"/>
      <c r="Q32" s="85"/>
      <c r="R32" s="85"/>
      <c r="S32" s="85"/>
      <c r="T32" s="85"/>
      <c r="U32" s="85"/>
      <c r="V32" s="85"/>
      <c r="W32" s="77"/>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c r="CY32" s="85"/>
      <c r="CZ32" s="85"/>
      <c r="DA32" s="85"/>
      <c r="DB32" s="85"/>
      <c r="DC32" s="85"/>
      <c r="DD32" s="85"/>
      <c r="DE32" s="85"/>
      <c r="DF32" s="85"/>
      <c r="DG32" s="85"/>
      <c r="DH32" s="85"/>
      <c r="DI32" s="85"/>
      <c r="DJ32" s="85"/>
      <c r="DK32" s="85"/>
      <c r="DL32" s="85"/>
      <c r="DM32" s="85"/>
      <c r="DN32" s="85"/>
      <c r="DO32" s="85"/>
      <c r="DP32" s="85"/>
      <c r="DQ32" s="85"/>
      <c r="DR32" s="85"/>
      <c r="DS32" s="85"/>
      <c r="DT32" s="85"/>
      <c r="DU32" s="85"/>
      <c r="DV32" s="85"/>
      <c r="DW32" s="85"/>
      <c r="DX32" s="85"/>
      <c r="DY32" s="85"/>
    </row>
    <row r="33" spans="1:129" s="59" customFormat="1" ht="17.45" hidden="1" customHeight="1">
      <c r="A33"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104" t="s">
        <v>7</v>
      </c>
      <c r="D33" s="105"/>
      <c r="E33" s="81">
        <v>43131</v>
      </c>
      <c r="F33" s="82">
        <f t="shared" si="73"/>
        <v>43131</v>
      </c>
      <c r="G33" s="60">
        <v>1</v>
      </c>
      <c r="H33" s="61">
        <v>0</v>
      </c>
      <c r="I33" s="62">
        <f t="shared" si="71"/>
        <v>1</v>
      </c>
      <c r="J33" s="77"/>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row>
    <row r="34" spans="1:129" s="59" customFormat="1" ht="17.45" hidden="1" customHeight="1">
      <c r="A34"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104" t="s">
        <v>7</v>
      </c>
      <c r="D34" s="105"/>
      <c r="E34" s="81">
        <v>43132</v>
      </c>
      <c r="F34" s="82">
        <f t="shared" si="73"/>
        <v>43132</v>
      </c>
      <c r="G34" s="60">
        <v>1</v>
      </c>
      <c r="H34" s="61">
        <v>0</v>
      </c>
      <c r="I34" s="62">
        <f t="shared" si="71"/>
        <v>1</v>
      </c>
      <c r="J34" s="77"/>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row>
    <row r="35" spans="1:129" s="59" customFormat="1" ht="17.45" hidden="1" customHeight="1">
      <c r="A35"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5" s="104" t="s">
        <v>7</v>
      </c>
      <c r="D35" s="105"/>
      <c r="E35" s="81">
        <v>43133</v>
      </c>
      <c r="F35" s="82">
        <f t="shared" si="73"/>
        <v>43133</v>
      </c>
      <c r="G35" s="60">
        <v>1</v>
      </c>
      <c r="H35" s="61">
        <v>0</v>
      </c>
      <c r="I35" s="62">
        <f t="shared" si="71"/>
        <v>1</v>
      </c>
      <c r="J35" s="77"/>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row>
    <row r="36" spans="1:129" s="53" customFormat="1" ht="18">
      <c r="A36" s="51" t="str">
        <f>IF(ISERROR(VALUE(SUBSTITUTE(prevWBS,".",""))),"1",IF(ISERROR(FIND("`",SUBSTITUTE(prevWBS,".","`",1))),TEXT(VALUE(prevWBS)+1,"#"),TEXT(VALUE(LEFT(prevWBS,FIND("`",SUBSTITUTE(prevWBS,".","`",1))-1))+1,"#")))</f>
        <v>5</v>
      </c>
      <c r="B36" s="52" t="s">
        <v>133</v>
      </c>
      <c r="D36" s="54"/>
      <c r="E36" s="83"/>
      <c r="F36" s="83" t="str">
        <f t="shared" ref="F36:F41" si="76">IF(ISBLANK(E36)," - ",IF(G36=0,E36,E36+G36-1))</f>
        <v xml:space="preserve"> - </v>
      </c>
      <c r="G36" s="55"/>
      <c r="H36" s="56"/>
      <c r="I36" s="57" t="str">
        <f t="shared" ref="I36:I41" si="77">IF(OR(F36=0,E36=0)," - ",NETWORKDAYS(E36,F36))</f>
        <v xml:space="preserve"> - </v>
      </c>
      <c r="J36" s="78"/>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row>
    <row r="37" spans="1:129" s="59" customFormat="1" ht="24">
      <c r="A37"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7" s="104" t="s">
        <v>148</v>
      </c>
      <c r="C37" s="59" t="s">
        <v>138</v>
      </c>
      <c r="D37" s="105"/>
      <c r="E37" s="81">
        <v>44026</v>
      </c>
      <c r="F37" s="82">
        <f t="shared" si="76"/>
        <v>44037</v>
      </c>
      <c r="G37" s="60">
        <v>12</v>
      </c>
      <c r="H37" s="61">
        <v>1</v>
      </c>
      <c r="I37" s="62">
        <f t="shared" si="77"/>
        <v>9</v>
      </c>
      <c r="J37" s="77"/>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c r="CY37" s="85"/>
      <c r="CZ37" s="85"/>
      <c r="DA37" s="85"/>
      <c r="DB37" s="85"/>
      <c r="DC37" s="85"/>
      <c r="DD37" s="85"/>
      <c r="DE37" s="85"/>
      <c r="DF37" s="85"/>
      <c r="DG37" s="85"/>
      <c r="DH37" s="85"/>
      <c r="DI37" s="85"/>
      <c r="DJ37" s="85"/>
      <c r="DK37" s="85"/>
      <c r="DL37" s="85"/>
      <c r="DM37" s="85"/>
      <c r="DN37" s="85"/>
      <c r="DO37" s="85"/>
      <c r="DP37" s="85"/>
      <c r="DQ37" s="85"/>
      <c r="DR37" s="85"/>
      <c r="DS37" s="85"/>
      <c r="DT37" s="85"/>
      <c r="DU37" s="85"/>
      <c r="DV37" s="85"/>
      <c r="DW37" s="85"/>
      <c r="DX37" s="85"/>
      <c r="DY37" s="85"/>
    </row>
    <row r="38" spans="1:129" s="59" customFormat="1" ht="36">
      <c r="A38"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38" s="104" t="s">
        <v>149</v>
      </c>
      <c r="C38" s="59" t="s">
        <v>138</v>
      </c>
      <c r="D38" s="105"/>
      <c r="E38" s="81">
        <v>44038</v>
      </c>
      <c r="F38" s="82">
        <f t="shared" si="76"/>
        <v>44044</v>
      </c>
      <c r="G38" s="60">
        <v>7</v>
      </c>
      <c r="H38" s="61">
        <v>1</v>
      </c>
      <c r="I38" s="62">
        <f t="shared" si="77"/>
        <v>5</v>
      </c>
      <c r="J38" s="77"/>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c r="CY38" s="85"/>
      <c r="CZ38" s="85"/>
      <c r="DA38" s="85"/>
      <c r="DB38" s="85"/>
      <c r="DC38" s="85"/>
      <c r="DD38" s="85"/>
      <c r="DE38" s="85"/>
      <c r="DF38" s="85"/>
      <c r="DG38" s="85"/>
      <c r="DH38" s="85"/>
      <c r="DI38" s="85"/>
      <c r="DJ38" s="85"/>
      <c r="DK38" s="85"/>
      <c r="DL38" s="85"/>
      <c r="DM38" s="85"/>
      <c r="DN38" s="85"/>
      <c r="DO38" s="85"/>
      <c r="DP38" s="85"/>
      <c r="DQ38" s="85"/>
      <c r="DR38" s="85"/>
      <c r="DS38" s="85"/>
      <c r="DT38" s="85"/>
      <c r="DU38" s="85"/>
      <c r="DV38" s="85"/>
      <c r="DW38" s="85"/>
      <c r="DX38" s="85"/>
      <c r="DY38" s="85"/>
    </row>
    <row r="39" spans="1:129" s="59" customFormat="1" ht="17.45" hidden="1" customHeight="1">
      <c r="A39"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39" s="104" t="s">
        <v>7</v>
      </c>
      <c r="D39" s="105"/>
      <c r="E39" s="81">
        <v>43131</v>
      </c>
      <c r="F39" s="82">
        <f t="shared" si="76"/>
        <v>43131</v>
      </c>
      <c r="G39" s="60">
        <v>1</v>
      </c>
      <c r="H39" s="61">
        <v>0</v>
      </c>
      <c r="I39" s="62">
        <f t="shared" si="77"/>
        <v>1</v>
      </c>
      <c r="J39" s="77"/>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c r="CY39" s="85"/>
      <c r="CZ39" s="85"/>
      <c r="DA39" s="85"/>
      <c r="DB39" s="85"/>
      <c r="DC39" s="85"/>
      <c r="DD39" s="85"/>
      <c r="DE39" s="85"/>
      <c r="DF39" s="85"/>
      <c r="DG39" s="85"/>
      <c r="DH39" s="85"/>
      <c r="DI39" s="85"/>
      <c r="DJ39" s="85"/>
      <c r="DK39" s="85"/>
      <c r="DL39" s="85"/>
      <c r="DM39" s="85"/>
      <c r="DN39" s="85"/>
      <c r="DO39" s="85"/>
      <c r="DP39" s="85"/>
      <c r="DQ39" s="85"/>
      <c r="DR39" s="85"/>
      <c r="DS39" s="85"/>
      <c r="DT39" s="85"/>
      <c r="DU39" s="85"/>
      <c r="DV39" s="85"/>
      <c r="DW39" s="85"/>
      <c r="DX39" s="85"/>
      <c r="DY39" s="85"/>
    </row>
    <row r="40" spans="1:129" s="59" customFormat="1" ht="17.45" hidden="1" customHeight="1">
      <c r="A40"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40" s="104" t="s">
        <v>7</v>
      </c>
      <c r="D40" s="105"/>
      <c r="E40" s="81">
        <v>43132</v>
      </c>
      <c r="F40" s="82">
        <f t="shared" si="76"/>
        <v>43132</v>
      </c>
      <c r="G40" s="60">
        <v>1</v>
      </c>
      <c r="H40" s="61">
        <v>0</v>
      </c>
      <c r="I40" s="62">
        <f t="shared" si="77"/>
        <v>1</v>
      </c>
      <c r="J40" s="77"/>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c r="CY40" s="85"/>
      <c r="CZ40" s="85"/>
      <c r="DA40" s="85"/>
      <c r="DB40" s="85"/>
      <c r="DC40" s="85"/>
      <c r="DD40" s="85"/>
      <c r="DE40" s="85"/>
      <c r="DF40" s="85"/>
      <c r="DG40" s="85"/>
      <c r="DH40" s="85"/>
      <c r="DI40" s="85"/>
      <c r="DJ40" s="85"/>
      <c r="DK40" s="85"/>
      <c r="DL40" s="85"/>
      <c r="DM40" s="85"/>
      <c r="DN40" s="85"/>
      <c r="DO40" s="85"/>
      <c r="DP40" s="85"/>
      <c r="DQ40" s="85"/>
      <c r="DR40" s="85"/>
      <c r="DS40" s="85"/>
      <c r="DT40" s="85"/>
      <c r="DU40" s="85"/>
      <c r="DV40" s="85"/>
      <c r="DW40" s="85"/>
      <c r="DX40" s="85"/>
      <c r="DY40" s="85"/>
    </row>
    <row r="41" spans="1:129" s="59" customFormat="1" ht="34.15" hidden="1" customHeight="1">
      <c r="A41" s="5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5.5</v>
      </c>
      <c r="B41" s="104" t="s">
        <v>150</v>
      </c>
      <c r="D41" s="105"/>
      <c r="E41" s="81">
        <v>43133</v>
      </c>
      <c r="F41" s="82">
        <f t="shared" si="76"/>
        <v>43133</v>
      </c>
      <c r="G41" s="60">
        <v>1</v>
      </c>
      <c r="H41" s="61">
        <v>0</v>
      </c>
      <c r="I41" s="62">
        <f t="shared" si="77"/>
        <v>1</v>
      </c>
      <c r="J41" s="77"/>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c r="CY41" s="85"/>
      <c r="CZ41" s="85"/>
      <c r="DA41" s="85"/>
      <c r="DB41" s="85"/>
      <c r="DC41" s="85"/>
      <c r="DD41" s="85"/>
      <c r="DE41" s="85"/>
      <c r="DF41" s="85"/>
      <c r="DG41" s="85"/>
      <c r="DH41" s="85"/>
      <c r="DI41" s="85"/>
      <c r="DJ41" s="85"/>
      <c r="DK41" s="85"/>
      <c r="DL41" s="85"/>
      <c r="DM41" s="85"/>
      <c r="DN41" s="85"/>
      <c r="DO41" s="85"/>
      <c r="DP41" s="85"/>
      <c r="DQ41" s="85"/>
      <c r="DR41" s="85"/>
      <c r="DS41" s="85"/>
      <c r="DT41" s="85"/>
      <c r="DU41" s="85"/>
      <c r="DV41" s="85"/>
      <c r="DW41" s="85"/>
      <c r="DX41" s="85"/>
      <c r="DY41" s="85"/>
    </row>
    <row r="42" spans="1:129">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row>
    <row r="44" spans="1:129">
      <c r="A44" s="1"/>
      <c r="D44" s="1"/>
      <c r="BF44" s="3"/>
      <c r="BG44" s="3"/>
      <c r="BH44" s="3"/>
      <c r="BI44" s="3"/>
      <c r="BJ44" s="3"/>
      <c r="BK44" s="3"/>
      <c r="BL44" s="3"/>
      <c r="BM44" s="3"/>
      <c r="BN44" s="3"/>
    </row>
    <row r="45" spans="1:129" s="64" customFormat="1" ht="18" hidden="1">
      <c r="A45" s="79"/>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row>
    <row r="46" spans="1:129" s="63" customFormat="1" ht="18" hidden="1">
      <c r="A46" s="79"/>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row>
    <row r="47" spans="1:129" s="63" customFormat="1" ht="18" hidden="1">
      <c r="A47" s="80"/>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row>
    <row r="48" spans="1:129" s="63" customFormat="1" ht="18" hidden="1">
      <c r="A48" s="80"/>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row>
    <row r="49" spans="1:66" s="63" customFormat="1" ht="18" hidden="1">
      <c r="A49" s="80"/>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row>
    <row r="50" spans="1:66" s="63" customFormat="1" ht="18" hidden="1">
      <c r="A50" s="80"/>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row>
    <row r="51" spans="1:66" s="31" customFormat="1" hidden="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row>
    <row r="52" spans="1:66">
      <c r="A52" s="1"/>
      <c r="D52" s="1"/>
      <c r="BF52" s="3"/>
      <c r="BG52" s="3"/>
      <c r="BH52" s="3"/>
      <c r="BI52" s="3"/>
      <c r="BJ52" s="3"/>
      <c r="BK52" s="3"/>
      <c r="BL52" s="3"/>
      <c r="BM52" s="3"/>
      <c r="BN52" s="3"/>
    </row>
    <row r="53" spans="1:66">
      <c r="A53" s="1"/>
      <c r="D53" s="1"/>
      <c r="BF53" s="3"/>
      <c r="BG53" s="3"/>
      <c r="BH53" s="3"/>
      <c r="BI53" s="3"/>
      <c r="BJ53" s="3"/>
      <c r="BK53" s="3"/>
      <c r="BL53" s="3"/>
      <c r="BM53" s="3"/>
      <c r="BN53" s="3"/>
    </row>
    <row r="54" spans="1:66">
      <c r="A54" s="1"/>
      <c r="D54" s="1"/>
      <c r="BF54" s="3"/>
      <c r="BG54" s="3"/>
      <c r="BH54" s="3"/>
      <c r="BI54" s="3"/>
      <c r="BJ54" s="3"/>
      <c r="BK54" s="3"/>
      <c r="BL54" s="3"/>
      <c r="BM54" s="3"/>
      <c r="BN54" s="3"/>
    </row>
    <row r="55" spans="1:66">
      <c r="A55" s="1"/>
      <c r="D55" s="1"/>
      <c r="BF55" s="3"/>
      <c r="BG55" s="3"/>
      <c r="BH55" s="3"/>
      <c r="BI55" s="3"/>
      <c r="BJ55" s="3"/>
      <c r="BK55" s="3"/>
      <c r="BL55" s="3"/>
      <c r="BM55" s="3"/>
      <c r="BN55" s="3"/>
    </row>
    <row r="56" spans="1:66">
      <c r="A56" s="1"/>
      <c r="D56" s="1"/>
      <c r="BF56" s="3"/>
      <c r="BG56" s="3"/>
      <c r="BH56" s="3"/>
      <c r="BI56" s="3"/>
      <c r="BJ56" s="3"/>
      <c r="BK56" s="3"/>
      <c r="BL56" s="3"/>
      <c r="BM56" s="3"/>
      <c r="BN56" s="3"/>
    </row>
    <row r="57" spans="1:66">
      <c r="A57" s="1"/>
      <c r="D57" s="1"/>
      <c r="BF57" s="3"/>
      <c r="BG57" s="3"/>
      <c r="BH57" s="3"/>
      <c r="BI57" s="3"/>
      <c r="BJ57" s="3"/>
      <c r="BK57" s="3"/>
      <c r="BL57" s="3"/>
      <c r="BM57" s="3"/>
      <c r="BN57" s="3"/>
    </row>
    <row r="58" spans="1:66">
      <c r="A58" s="1"/>
      <c r="D58" s="1"/>
      <c r="BF58" s="3"/>
      <c r="BG58" s="3"/>
      <c r="BH58" s="3"/>
      <c r="BI58" s="3"/>
      <c r="BJ58" s="3"/>
      <c r="BK58" s="3"/>
      <c r="BL58" s="3"/>
      <c r="BM58" s="3"/>
      <c r="BN58" s="3"/>
    </row>
    <row r="59" spans="1:66">
      <c r="A59" s="1"/>
      <c r="D59" s="1"/>
      <c r="BF59" s="3"/>
      <c r="BG59" s="3"/>
      <c r="BH59" s="3"/>
      <c r="BI59" s="3"/>
      <c r="BJ59" s="3"/>
      <c r="BK59" s="3"/>
      <c r="BL59" s="3"/>
      <c r="BM59" s="3"/>
      <c r="BN59" s="3"/>
    </row>
    <row r="60" spans="1:66">
      <c r="A60" s="1"/>
      <c r="D60" s="1"/>
      <c r="BF60" s="3"/>
      <c r="BG60" s="3"/>
      <c r="BH60" s="3"/>
      <c r="BI60" s="3"/>
      <c r="BJ60" s="3"/>
      <c r="BK60" s="3"/>
      <c r="BL60" s="3"/>
      <c r="BM60" s="3"/>
      <c r="BN60" s="3"/>
    </row>
  </sheetData>
  <sheetProtection formatCells="0" formatColumns="0" formatRows="0" insertRows="0" deleteRows="0"/>
  <mergeCells count="45">
    <mergeCell ref="EN4:ET4"/>
    <mergeCell ref="EU4:FA4"/>
    <mergeCell ref="EG5:EM5"/>
    <mergeCell ref="EN5:ET5"/>
    <mergeCell ref="EU5:FA5"/>
    <mergeCell ref="DS4:DY4"/>
    <mergeCell ref="DS5:DY5"/>
    <mergeCell ref="DZ4:EF4"/>
    <mergeCell ref="DZ5:EF5"/>
    <mergeCell ref="EG4:EM4"/>
    <mergeCell ref="CX4:DD4"/>
    <mergeCell ref="CX5:DD5"/>
    <mergeCell ref="DE4:DK4"/>
    <mergeCell ref="DE5:DK5"/>
    <mergeCell ref="DL4:DR4"/>
    <mergeCell ref="DL5:DR5"/>
    <mergeCell ref="CC4:CI4"/>
    <mergeCell ref="CC5:CI5"/>
    <mergeCell ref="CJ4:CP4"/>
    <mergeCell ref="CJ5:CP5"/>
    <mergeCell ref="CQ4:CW4"/>
    <mergeCell ref="CQ5:CW5"/>
    <mergeCell ref="BO4:BU4"/>
    <mergeCell ref="BO5:BU5"/>
    <mergeCell ref="BV4:CB4"/>
    <mergeCell ref="BV5:CB5"/>
    <mergeCell ref="AF4:AL4"/>
    <mergeCell ref="AF5:AL5"/>
    <mergeCell ref="BH4:BN4"/>
    <mergeCell ref="BH5:BN5"/>
    <mergeCell ref="AM5:AS5"/>
    <mergeCell ref="AT4:AZ4"/>
    <mergeCell ref="AT5:AZ5"/>
    <mergeCell ref="AM4:AS4"/>
    <mergeCell ref="BA4:BG4"/>
    <mergeCell ref="BA5:BG5"/>
    <mergeCell ref="Y1:AS1"/>
    <mergeCell ref="C5:E5"/>
    <mergeCell ref="R4:X4"/>
    <mergeCell ref="K4:Q4"/>
    <mergeCell ref="C4:E4"/>
    <mergeCell ref="R5:X5"/>
    <mergeCell ref="K5:Q5"/>
    <mergeCell ref="Y4:AE4"/>
    <mergeCell ref="Y5:AE5"/>
  </mergeCells>
  <phoneticPr fontId="3" type="noConversion"/>
  <conditionalFormatting sqref="H8:H29 H33:H35">
    <cfRule type="dataBar" priority="90">
      <dataBar>
        <cfvo type="num" val="0"/>
        <cfvo type="num" val="1"/>
        <color theme="0" tint="-0.34998626667073579"/>
      </dataBar>
      <extLst xmlns:x14="http://schemas.microsoft.com/office/spreadsheetml/2009/9/main">
        <ext uri="{B025F937-C7B1-47D3-B67F-A62EFF666E3E}">
          <x14:id>{0A58A75E-4698-465A-8593-F06B91A3A900}</x14:id>
        </ext>
      </extLst>
    </cfRule>
  </conditionalFormatting>
  <conditionalFormatting sqref="K6:AF7 AH6:BN7">
    <cfRule type="expression" dxfId="58" priority="133">
      <formula>K$6=TODAY()</formula>
    </cfRule>
  </conditionalFormatting>
  <conditionalFormatting sqref="K8:BN31 K32:V32 X32:BN32 K33:BN41">
    <cfRule type="expression" dxfId="57" priority="136">
      <formula>AND($E8&lt;=K$6,ROUNDDOWN(($F8-$E8+1)*$H8,0)+$E8-1&gt;=K$6)</formula>
    </cfRule>
    <cfRule type="expression" dxfId="56" priority="137">
      <formula>AND(NOT(ISBLANK($E8)),$E8&lt;=K$6,$F8&gt;=K$6)</formula>
    </cfRule>
  </conditionalFormatting>
  <conditionalFormatting sqref="K33:BN35 K32:V32 X32:BN32 K8:BN31 K6:AF7 AH6:BN7">
    <cfRule type="expression" dxfId="55" priority="96">
      <formula>K$6=TODAY()</formula>
    </cfRule>
  </conditionalFormatting>
  <conditionalFormatting sqref="H36:H41">
    <cfRule type="dataBar" priority="85">
      <dataBar>
        <cfvo type="num" val="0"/>
        <cfvo type="num" val="1"/>
        <color theme="0" tint="-0.34998626667073579"/>
      </dataBar>
      <extLst xmlns:x14="http://schemas.microsoft.com/office/spreadsheetml/2009/9/main">
        <ext uri="{B025F937-C7B1-47D3-B67F-A62EFF666E3E}">
          <x14:id>{F8F9D816-4EED-43DE-A41E-3DE92B4F47C0}</x14:id>
        </ext>
      </extLst>
    </cfRule>
  </conditionalFormatting>
  <conditionalFormatting sqref="K36:BN41">
    <cfRule type="expression" dxfId="54" priority="86">
      <formula>K$6=TODAY()</formula>
    </cfRule>
  </conditionalFormatting>
  <conditionalFormatting sqref="H30:H32">
    <cfRule type="dataBar" priority="64">
      <dataBar>
        <cfvo type="num" val="0"/>
        <cfvo type="num" val="1"/>
        <color theme="0" tint="-0.34998626667073579"/>
      </dataBar>
      <extLst xmlns:x14="http://schemas.microsoft.com/office/spreadsheetml/2009/9/main">
        <ext uri="{B025F937-C7B1-47D3-B67F-A62EFF666E3E}">
          <x14:id>{C50205F7-0095-4FD1-BB7D-827E7823975B}</x14:id>
        </ext>
      </extLst>
    </cfRule>
  </conditionalFormatting>
  <conditionalFormatting sqref="B45:BE50">
    <cfRule type="expression" dxfId="53" priority="138">
      <formula>AND(#REF!&lt;=K$6,ROUNDDOWN((#REF!-#REF!+1)*#REF!,0)+#REF!-1&gt;=K$6)</formula>
    </cfRule>
    <cfRule type="expression" dxfId="52" priority="139">
      <formula>AND(NOT(ISBLANK(#REF!)),#REF!&lt;=K$6,#REF!&gt;=K$6)</formula>
    </cfRule>
  </conditionalFormatting>
  <conditionalFormatting sqref="B45:BE50">
    <cfRule type="expression" dxfId="51" priority="140">
      <formula>K$6=TODAY()</formula>
    </cfRule>
  </conditionalFormatting>
  <conditionalFormatting sqref="DZ6:ET7">
    <cfRule type="expression" dxfId="50" priority="51">
      <formula>DZ$6=TODAY()</formula>
    </cfRule>
  </conditionalFormatting>
  <conditionalFormatting sqref="DZ6:ET7">
    <cfRule type="expression" dxfId="49" priority="50">
      <formula>DZ$6=TODAY()</formula>
    </cfRule>
  </conditionalFormatting>
  <conditionalFormatting sqref="EU6:FA7">
    <cfRule type="expression" dxfId="48" priority="48">
      <formula>EU$6=TODAY()</formula>
    </cfRule>
  </conditionalFormatting>
  <conditionalFormatting sqref="EU6:FA7">
    <cfRule type="expression" dxfId="47" priority="49">
      <formula>EU$6=TODAY()</formula>
    </cfRule>
  </conditionalFormatting>
  <conditionalFormatting sqref="EU6:FA7">
    <cfRule type="expression" dxfId="46" priority="47">
      <formula>EU$6=TODAY()</formula>
    </cfRule>
  </conditionalFormatting>
  <conditionalFormatting sqref="EU6:FA7">
    <cfRule type="expression" dxfId="45" priority="46">
      <formula>EU$6=TODAY()</formula>
    </cfRule>
  </conditionalFormatting>
  <conditionalFormatting sqref="BO6:BU7">
    <cfRule type="expression" dxfId="44" priority="43">
      <formula>BO$6=TODAY()</formula>
    </cfRule>
  </conditionalFormatting>
  <conditionalFormatting sqref="BO8:BU41">
    <cfRule type="expression" dxfId="43" priority="44">
      <formula>AND($E8&lt;=BO$6,ROUNDDOWN(($F8-$E8+1)*$H8,0)+$E8-1&gt;=BO$6)</formula>
    </cfRule>
    <cfRule type="expression" dxfId="42" priority="45">
      <formula>AND(NOT(ISBLANK($E8)),$E8&lt;=BO$6,$F8&gt;=BO$6)</formula>
    </cfRule>
  </conditionalFormatting>
  <conditionalFormatting sqref="BO6:BU35">
    <cfRule type="expression" dxfId="41" priority="42">
      <formula>BO$6=TODAY()</formula>
    </cfRule>
  </conditionalFormatting>
  <conditionalFormatting sqref="BO36:BU41">
    <cfRule type="expression" dxfId="40" priority="41">
      <formula>BO$6=TODAY()</formula>
    </cfRule>
  </conditionalFormatting>
  <conditionalFormatting sqref="BV6:CB7">
    <cfRule type="expression" dxfId="39" priority="38">
      <formula>BV$6=TODAY()</formula>
    </cfRule>
  </conditionalFormatting>
  <conditionalFormatting sqref="BV8:CB41">
    <cfRule type="expression" dxfId="38" priority="39">
      <formula>AND($E8&lt;=BV$6,ROUNDDOWN(($F8-$E8+1)*$H8,0)+$E8-1&gt;=BV$6)</formula>
    </cfRule>
    <cfRule type="expression" dxfId="37" priority="40">
      <formula>AND(NOT(ISBLANK($E8)),$E8&lt;=BV$6,$F8&gt;=BV$6)</formula>
    </cfRule>
  </conditionalFormatting>
  <conditionalFormatting sqref="BV6:CB35">
    <cfRule type="expression" dxfId="36" priority="37">
      <formula>BV$6=TODAY()</formula>
    </cfRule>
  </conditionalFormatting>
  <conditionalFormatting sqref="BV36:CB41">
    <cfRule type="expression" dxfId="35" priority="36">
      <formula>BV$6=TODAY()</formula>
    </cfRule>
  </conditionalFormatting>
  <conditionalFormatting sqref="CC6:CI7">
    <cfRule type="expression" dxfId="34" priority="33">
      <formula>CC$6=TODAY()</formula>
    </cfRule>
  </conditionalFormatting>
  <conditionalFormatting sqref="CC8:CI41">
    <cfRule type="expression" dxfId="33" priority="34">
      <formula>AND($E8&lt;=CC$6,ROUNDDOWN(($F8-$E8+1)*$H8,0)+$E8-1&gt;=CC$6)</formula>
    </cfRule>
    <cfRule type="expression" dxfId="32" priority="35">
      <formula>AND(NOT(ISBLANK($E8)),$E8&lt;=CC$6,$F8&gt;=CC$6)</formula>
    </cfRule>
  </conditionalFormatting>
  <conditionalFormatting sqref="CC6:CI35">
    <cfRule type="expression" dxfId="31" priority="32">
      <formula>CC$6=TODAY()</formula>
    </cfRule>
  </conditionalFormatting>
  <conditionalFormatting sqref="CC36:CI41">
    <cfRule type="expression" dxfId="30" priority="31">
      <formula>CC$6=TODAY()</formula>
    </cfRule>
  </conditionalFormatting>
  <conditionalFormatting sqref="CJ6:CP7">
    <cfRule type="expression" dxfId="29" priority="28">
      <formula>CJ$6=TODAY()</formula>
    </cfRule>
  </conditionalFormatting>
  <conditionalFormatting sqref="CJ8:CP41">
    <cfRule type="expression" dxfId="28" priority="29">
      <formula>AND($E8&lt;=CJ$6,ROUNDDOWN(($F8-$E8+1)*$H8,0)+$E8-1&gt;=CJ$6)</formula>
    </cfRule>
    <cfRule type="expression" dxfId="27" priority="30">
      <formula>AND(NOT(ISBLANK($E8)),$E8&lt;=CJ$6,$F8&gt;=CJ$6)</formula>
    </cfRule>
  </conditionalFormatting>
  <conditionalFormatting sqref="CJ6:CP35">
    <cfRule type="expression" dxfId="26" priority="27">
      <formula>CJ$6=TODAY()</formula>
    </cfRule>
  </conditionalFormatting>
  <conditionalFormatting sqref="CJ36:CP41">
    <cfRule type="expression" dxfId="25" priority="26">
      <formula>CJ$6=TODAY()</formula>
    </cfRule>
  </conditionalFormatting>
  <conditionalFormatting sqref="CQ6:CW7">
    <cfRule type="expression" dxfId="24" priority="23">
      <formula>CQ$6=TODAY()</formula>
    </cfRule>
  </conditionalFormatting>
  <conditionalFormatting sqref="CQ8:CW41">
    <cfRule type="expression" dxfId="23" priority="24">
      <formula>AND($E8&lt;=CQ$6,ROUNDDOWN(($F8-$E8+1)*$H8,0)+$E8-1&gt;=CQ$6)</formula>
    </cfRule>
    <cfRule type="expression" dxfId="22" priority="25">
      <formula>AND(NOT(ISBLANK($E8)),$E8&lt;=CQ$6,$F8&gt;=CQ$6)</formula>
    </cfRule>
  </conditionalFormatting>
  <conditionalFormatting sqref="CQ6:CW35">
    <cfRule type="expression" dxfId="21" priority="22">
      <formula>CQ$6=TODAY()</formula>
    </cfRule>
  </conditionalFormatting>
  <conditionalFormatting sqref="CQ36:CW41">
    <cfRule type="expression" dxfId="20" priority="21">
      <formula>CQ$6=TODAY()</formula>
    </cfRule>
  </conditionalFormatting>
  <conditionalFormatting sqref="CX6:DD7">
    <cfRule type="expression" dxfId="19" priority="18">
      <formula>CX$6=TODAY()</formula>
    </cfRule>
  </conditionalFormatting>
  <conditionalFormatting sqref="CX8:DD41">
    <cfRule type="expression" dxfId="18" priority="19">
      <formula>AND($E8&lt;=CX$6,ROUNDDOWN(($F8-$E8+1)*$H8,0)+$E8-1&gt;=CX$6)</formula>
    </cfRule>
    <cfRule type="expression" dxfId="17" priority="20">
      <formula>AND(NOT(ISBLANK($E8)),$E8&lt;=CX$6,$F8&gt;=CX$6)</formula>
    </cfRule>
  </conditionalFormatting>
  <conditionalFormatting sqref="CX6:DD35">
    <cfRule type="expression" dxfId="16" priority="17">
      <formula>CX$6=TODAY()</formula>
    </cfRule>
  </conditionalFormatting>
  <conditionalFormatting sqref="CX36:DD41">
    <cfRule type="expression" dxfId="15" priority="16">
      <formula>CX$6=TODAY()</formula>
    </cfRule>
  </conditionalFormatting>
  <conditionalFormatting sqref="DE6:DK7">
    <cfRule type="expression" dxfId="14" priority="13">
      <formula>DE$6=TODAY()</formula>
    </cfRule>
  </conditionalFormatting>
  <conditionalFormatting sqref="DE8:DK41">
    <cfRule type="expression" dxfId="13" priority="14">
      <formula>AND($E8&lt;=DE$6,ROUNDDOWN(($F8-$E8+1)*$H8,0)+$E8-1&gt;=DE$6)</formula>
    </cfRule>
    <cfRule type="expression" dxfId="12" priority="15">
      <formula>AND(NOT(ISBLANK($E8)),$E8&lt;=DE$6,$F8&gt;=DE$6)</formula>
    </cfRule>
  </conditionalFormatting>
  <conditionalFormatting sqref="DE6:DK35">
    <cfRule type="expression" dxfId="11" priority="12">
      <formula>DE$6=TODAY()</formula>
    </cfRule>
  </conditionalFormatting>
  <conditionalFormatting sqref="DE36:DK41">
    <cfRule type="expression" dxfId="10" priority="11">
      <formula>DE$6=TODAY()</formula>
    </cfRule>
  </conditionalFormatting>
  <conditionalFormatting sqref="DL6:DR7">
    <cfRule type="expression" dxfId="9" priority="8">
      <formula>DL$6=TODAY()</formula>
    </cfRule>
  </conditionalFormatting>
  <conditionalFormatting sqref="DL8:DR41">
    <cfRule type="expression" dxfId="8" priority="9">
      <formula>AND($E8&lt;=DL$6,ROUNDDOWN(($F8-$E8+1)*$H8,0)+$E8-1&gt;=DL$6)</formula>
    </cfRule>
    <cfRule type="expression" dxfId="7" priority="10">
      <formula>AND(NOT(ISBLANK($E8)),$E8&lt;=DL$6,$F8&gt;=DL$6)</formula>
    </cfRule>
  </conditionalFormatting>
  <conditionalFormatting sqref="DL6:DR35">
    <cfRule type="expression" dxfId="6" priority="7">
      <formula>DL$6=TODAY()</formula>
    </cfRule>
  </conditionalFormatting>
  <conditionalFormatting sqref="DL36:DR41">
    <cfRule type="expression" dxfId="5" priority="6">
      <formula>DL$6=TODAY()</formula>
    </cfRule>
  </conditionalFormatting>
  <conditionalFormatting sqref="DS6:DY7">
    <cfRule type="expression" dxfId="4" priority="3">
      <formula>DS$6=TODAY()</formula>
    </cfRule>
  </conditionalFormatting>
  <conditionalFormatting sqref="DS8:DY41">
    <cfRule type="expression" dxfId="3" priority="4">
      <formula>AND($E8&lt;=DS$6,ROUNDDOWN(($F8-$E8+1)*$H8,0)+$E8-1&gt;=DS$6)</formula>
    </cfRule>
    <cfRule type="expression" dxfId="2" priority="5">
      <formula>AND(NOT(ISBLANK($E8)),$E8&lt;=DS$6,$F8&gt;=DS$6)</formula>
    </cfRule>
  </conditionalFormatting>
  <conditionalFormatting sqref="DS6:DY35">
    <cfRule type="expression" dxfId="1" priority="2">
      <formula>DS$6=TODAY()</formula>
    </cfRule>
  </conditionalFormatting>
  <conditionalFormatting sqref="DS36:DY41">
    <cfRule type="expression" dxfId="0" priority="1">
      <formula>DS$6=TODAY()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63" fitToHeight="0" orientation="landscape" r:id="rId1"/>
  <headerFooter alignWithMargins="0"/>
  <ignoredErrors>
    <ignoredError sqref="H9 B33:B34 B21:B22 G13:H13 G12 G16 G14:H14 E18 E24 G15 G11 G18:H18 G24:H24 H22 H21 G33:H34" unlockedFormula="1"/>
    <ignoredError sqref="A36" formula="1"/>
  </ignoredErrors>
  <drawing r:id="rId2"/>
  <legacyDrawing r:id="rId3"/>
  <extLst xmlns:x14="http://schemas.microsoft.com/office/spreadsheetml/2009/9/main">
    <ext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H8:H29 H33:H35</xm:sqref>
        </x14:conditionalFormatting>
        <x14:conditionalFormatting xmlns:xm="http://schemas.microsoft.com/office/excel/2006/main">
          <x14:cfRule type="dataBar" id="{F8F9D816-4EED-43DE-A41E-3DE92B4F47C0}">
            <x14:dataBar minLength="0" maxLength="100" gradient="0">
              <x14:cfvo type="num">
                <xm:f>0</xm:f>
              </x14:cfvo>
              <x14:cfvo type="num">
                <xm:f>1</xm:f>
              </x14:cfvo>
              <x14:negativeFillColor rgb="FFFF0000"/>
              <x14:axisColor rgb="FF000000"/>
            </x14:dataBar>
          </x14:cfRule>
          <xm:sqref>H36:H41</xm:sqref>
        </x14:conditionalFormatting>
        <x14:conditionalFormatting xmlns:xm="http://schemas.microsoft.com/office/excel/2006/main">
          <x14:cfRule type="dataBar" id="{C50205F7-0095-4FD1-BB7D-827E7823975B}">
            <x14:dataBar minLength="0" maxLength="100" gradient="0">
              <x14:cfvo type="num">
                <xm:f>0</xm:f>
              </x14:cfvo>
              <x14:cfvo type="num">
                <xm:f>1</xm:f>
              </x14:cfvo>
              <x14:negativeFillColor rgb="FFFF0000"/>
              <x14:axisColor rgb="FF000000"/>
            </x14:dataBar>
          </x14:cfRule>
          <xm:sqref>H30:H32</xm:sqref>
        </x14:conditionalFormatting>
      </x14:conditionalFormattings>
    </ext>
  </extLst>
</worksheet>
</file>

<file path=xl/worksheets/sheet2.xml><?xml version="1.0" encoding="utf-8"?>
<worksheet xmlns="http://schemas.openxmlformats.org/spreadsheetml/2006/main" xmlns:r="http://schemas.openxmlformats.org/officeDocument/2006/relationships">
  <sheetPr>
    <pageSetUpPr fitToPage="1"/>
  </sheetPr>
  <dimension ref="A1:G46"/>
  <sheetViews>
    <sheetView showGridLines="0" workbookViewId="0">
      <selection activeCell="A2" sqref="A2"/>
    </sheetView>
  </sheetViews>
  <sheetFormatPr defaultRowHeight="12.75"/>
  <cols>
    <col min="1" max="1" width="5.5703125" style="16" customWidth="1"/>
    <col min="2" max="2" width="37.7109375" style="16" customWidth="1"/>
    <col min="3" max="3" width="55.140625" style="16" customWidth="1"/>
    <col min="4" max="7" width="8.85546875" style="16"/>
  </cols>
  <sheetData>
    <row r="1" spans="1:3" ht="30" customHeight="1">
      <c r="A1" s="33" t="s">
        <v>21</v>
      </c>
    </row>
    <row r="4" spans="1:3">
      <c r="C4" s="23" t="s">
        <v>29</v>
      </c>
    </row>
    <row r="5" spans="1:3">
      <c r="C5" s="20" t="s">
        <v>30</v>
      </c>
    </row>
    <row r="6" spans="1:3">
      <c r="C6" s="20"/>
    </row>
    <row r="7" spans="1:3" ht="18">
      <c r="C7" s="24" t="s">
        <v>49</v>
      </c>
    </row>
    <row r="8" spans="1:3">
      <c r="C8" s="25" t="s">
        <v>47</v>
      </c>
    </row>
    <row r="10" spans="1:3">
      <c r="C10" s="20" t="s">
        <v>46</v>
      </c>
    </row>
    <row r="11" spans="1:3">
      <c r="C11" s="20" t="s">
        <v>45</v>
      </c>
    </row>
    <row r="13" spans="1:3" ht="18">
      <c r="C13" s="24" t="s">
        <v>44</v>
      </c>
    </row>
    <row r="16" spans="1:3" ht="15.75">
      <c r="A16" s="27" t="s">
        <v>23</v>
      </c>
    </row>
    <row r="17" spans="2:2" s="16" customFormat="1"/>
    <row r="18" spans="2:2" ht="15">
      <c r="B18" s="26" t="s">
        <v>34</v>
      </c>
    </row>
    <row r="19" spans="2:2">
      <c r="B19" s="20" t="s">
        <v>39</v>
      </c>
    </row>
    <row r="20" spans="2:2">
      <c r="B20" s="20" t="s">
        <v>40</v>
      </c>
    </row>
    <row r="22" spans="2:2" s="16" customFormat="1" ht="15">
      <c r="B22" s="26" t="s">
        <v>41</v>
      </c>
    </row>
    <row r="23" spans="2:2" s="16" customFormat="1">
      <c r="B23" s="20" t="s">
        <v>42</v>
      </c>
    </row>
    <row r="24" spans="2:2" s="16" customFormat="1">
      <c r="B24" s="20" t="s">
        <v>43</v>
      </c>
    </row>
    <row r="26" spans="2:2" s="16" customFormat="1" ht="15">
      <c r="B26" s="26" t="s">
        <v>31</v>
      </c>
    </row>
    <row r="27" spans="2:2" s="16" customFormat="1">
      <c r="B27" s="20" t="s">
        <v>35</v>
      </c>
    </row>
    <row r="28" spans="2:2" s="16" customFormat="1">
      <c r="B28" s="20" t="s">
        <v>36</v>
      </c>
    </row>
    <row r="29" spans="2:2">
      <c r="B29" s="20" t="s">
        <v>37</v>
      </c>
    </row>
    <row r="30" spans="2:2">
      <c r="B30" s="16" t="s">
        <v>24</v>
      </c>
    </row>
    <row r="31" spans="2:2">
      <c r="B31" s="16" t="s">
        <v>25</v>
      </c>
    </row>
    <row r="32" spans="2:2">
      <c r="B32" s="16" t="s">
        <v>26</v>
      </c>
    </row>
    <row r="34" spans="2:2" ht="15">
      <c r="B34" s="26" t="s">
        <v>27</v>
      </c>
    </row>
    <row r="35" spans="2:2">
      <c r="B35" s="20" t="s">
        <v>120</v>
      </c>
    </row>
    <row r="36" spans="2:2">
      <c r="B36" s="20" t="s">
        <v>121</v>
      </c>
    </row>
    <row r="37" spans="2:2">
      <c r="B37" s="20" t="s">
        <v>122</v>
      </c>
    </row>
    <row r="39" spans="2:2" ht="15">
      <c r="B39" s="26" t="s">
        <v>28</v>
      </c>
    </row>
    <row r="40" spans="2:2">
      <c r="B40" s="20" t="s">
        <v>38</v>
      </c>
    </row>
    <row r="42" spans="2:2" s="16" customFormat="1" ht="15">
      <c r="B42" s="26" t="s">
        <v>32</v>
      </c>
    </row>
    <row r="43" spans="2:2" s="16" customFormat="1">
      <c r="B43" s="20" t="s">
        <v>123</v>
      </c>
    </row>
    <row r="44" spans="2:2" s="16" customFormat="1">
      <c r="B44" s="20" t="s">
        <v>33</v>
      </c>
    </row>
    <row r="45" spans="2:2" s="16" customFormat="1"/>
    <row r="46" spans="2:2" ht="18">
      <c r="B46" s="24" t="s">
        <v>22</v>
      </c>
    </row>
  </sheetData>
  <hyperlinks>
    <hyperlink ref="C7" r:id="rId1"/>
    <hyperlink ref="B46" r:id="rId2" tooltip="Go to Vertex42.com" display="https://www.vertex42.com/Links/go.php?urlid=GanttChartPro"/>
    <hyperlink ref="C13" r:id="rId3" display="https://www.vertex42.com/blog/business/pm/new-gantt-chart-for-excel-online.html"/>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sheetPr codeName="Sheet5"/>
  <dimension ref="A1:C94"/>
  <sheetViews>
    <sheetView showGridLines="0" workbookViewId="0">
      <selection activeCell="A3" sqref="A3"/>
    </sheetView>
  </sheetViews>
  <sheetFormatPr defaultColWidth="8.85546875" defaultRowHeight="12.75"/>
  <cols>
    <col min="1" max="1" width="5.5703125" style="7" customWidth="1"/>
    <col min="2" max="2" width="90.42578125" style="7" customWidth="1"/>
    <col min="3" max="3" width="16.42578125" style="7" bestFit="1" customWidth="1"/>
    <col min="4" max="16384" width="8.85546875" style="7"/>
  </cols>
  <sheetData>
    <row r="1" spans="1:3" ht="30" customHeight="1">
      <c r="A1" s="38" t="s">
        <v>115</v>
      </c>
      <c r="B1" s="39"/>
      <c r="C1" s="40"/>
    </row>
    <row r="2" spans="1:3" ht="14.25">
      <c r="A2" s="114" t="s">
        <v>47</v>
      </c>
      <c r="B2" s="9"/>
      <c r="C2" s="8"/>
    </row>
    <row r="3" spans="1:3" s="20" customFormat="1">
      <c r="A3" s="8"/>
      <c r="B3" s="9"/>
      <c r="C3" s="8"/>
    </row>
    <row r="4" spans="1:3" s="8" customFormat="1" ht="18">
      <c r="A4" s="109" t="s">
        <v>82</v>
      </c>
      <c r="B4" s="37"/>
    </row>
    <row r="5" spans="1:3" s="8" customFormat="1" ht="57">
      <c r="B5" s="115" t="s">
        <v>71</v>
      </c>
    </row>
    <row r="7" spans="1:3" ht="28.5">
      <c r="B7" s="115" t="s">
        <v>83</v>
      </c>
    </row>
    <row r="9" spans="1:3" ht="14.25">
      <c r="B9" s="114" t="s">
        <v>59</v>
      </c>
    </row>
    <row r="11" spans="1:3" ht="28.5">
      <c r="B11" s="113" t="s">
        <v>60</v>
      </c>
    </row>
    <row r="12" spans="1:3" s="20" customFormat="1"/>
    <row r="13" spans="1:3" ht="18">
      <c r="A13" s="148" t="s">
        <v>3</v>
      </c>
      <c r="B13" s="148"/>
    </row>
    <row r="14" spans="1:3" s="20" customFormat="1"/>
    <row r="15" spans="1:3" s="110" customFormat="1" ht="18">
      <c r="A15" s="118"/>
      <c r="B15" s="116" t="s">
        <v>74</v>
      </c>
    </row>
    <row r="16" spans="1:3" s="110" customFormat="1" ht="18">
      <c r="A16" s="118"/>
      <c r="B16" s="117" t="s">
        <v>72</v>
      </c>
      <c r="C16" s="112" t="s">
        <v>2</v>
      </c>
    </row>
    <row r="17" spans="1:3" ht="18">
      <c r="A17" s="119"/>
      <c r="B17" s="117" t="s">
        <v>76</v>
      </c>
    </row>
    <row r="18" spans="1:3" s="20" customFormat="1" ht="18">
      <c r="A18" s="119"/>
      <c r="B18" s="117" t="s">
        <v>84</v>
      </c>
    </row>
    <row r="19" spans="1:3" s="40" customFormat="1" ht="18">
      <c r="A19" s="122"/>
      <c r="B19" s="117" t="s">
        <v>85</v>
      </c>
    </row>
    <row r="20" spans="1:3" s="110" customFormat="1" ht="18">
      <c r="A20" s="118"/>
      <c r="B20" s="116" t="s">
        <v>73</v>
      </c>
      <c r="C20" s="111" t="s">
        <v>1</v>
      </c>
    </row>
    <row r="21" spans="1:3" ht="18">
      <c r="A21" s="119"/>
      <c r="B21" s="117" t="s">
        <v>75</v>
      </c>
    </row>
    <row r="22" spans="1:3" s="8" customFormat="1" ht="18">
      <c r="A22" s="120"/>
      <c r="B22" s="121" t="s">
        <v>77</v>
      </c>
    </row>
    <row r="23" spans="1:3" s="8" customFormat="1" ht="18">
      <c r="A23" s="120"/>
      <c r="B23" s="10"/>
    </row>
    <row r="24" spans="1:3" s="8" customFormat="1" ht="18">
      <c r="A24" s="148" t="s">
        <v>78</v>
      </c>
      <c r="B24" s="148"/>
    </row>
    <row r="25" spans="1:3" s="8" customFormat="1" ht="43.5">
      <c r="A25" s="120"/>
      <c r="B25" s="117" t="s">
        <v>86</v>
      </c>
    </row>
    <row r="26" spans="1:3" s="8" customFormat="1" ht="18">
      <c r="A26" s="120"/>
      <c r="B26" s="117"/>
    </row>
    <row r="27" spans="1:3" s="8" customFormat="1" ht="18">
      <c r="A27" s="120"/>
      <c r="B27" s="138" t="s">
        <v>90</v>
      </c>
    </row>
    <row r="28" spans="1:3" s="8" customFormat="1" ht="18">
      <c r="A28" s="120"/>
      <c r="B28" s="117" t="s">
        <v>79</v>
      </c>
    </row>
    <row r="29" spans="1:3" s="8" customFormat="1" ht="28.5">
      <c r="A29" s="120"/>
      <c r="B29" s="117" t="s">
        <v>81</v>
      </c>
    </row>
    <row r="30" spans="1:3" s="8" customFormat="1" ht="18">
      <c r="A30" s="120"/>
      <c r="B30" s="117"/>
    </row>
    <row r="31" spans="1:3" s="8" customFormat="1" ht="18">
      <c r="A31" s="120"/>
      <c r="B31" s="138" t="s">
        <v>87</v>
      </c>
    </row>
    <row r="32" spans="1:3" s="8" customFormat="1" ht="18">
      <c r="A32" s="120"/>
      <c r="B32" s="117" t="s">
        <v>80</v>
      </c>
    </row>
    <row r="33" spans="1:2" s="8" customFormat="1" ht="18">
      <c r="A33" s="120"/>
      <c r="B33" s="117" t="s">
        <v>88</v>
      </c>
    </row>
    <row r="34" spans="1:2" s="8" customFormat="1" ht="18">
      <c r="A34" s="120"/>
      <c r="B34" s="10"/>
    </row>
    <row r="35" spans="1:2" s="8" customFormat="1" ht="28.5">
      <c r="A35" s="120"/>
      <c r="B35" s="117" t="s">
        <v>126</v>
      </c>
    </row>
    <row r="36" spans="1:2" s="8" customFormat="1" ht="18">
      <c r="A36" s="120"/>
      <c r="B36" s="123" t="s">
        <v>89</v>
      </c>
    </row>
    <row r="37" spans="1:2" s="8" customFormat="1" ht="18">
      <c r="A37" s="120"/>
      <c r="B37" s="10"/>
    </row>
    <row r="38" spans="1:2" ht="18">
      <c r="A38" s="148" t="s">
        <v>9</v>
      </c>
      <c r="B38" s="148"/>
    </row>
    <row r="39" spans="1:2" ht="28.5">
      <c r="B39" s="117" t="s">
        <v>92</v>
      </c>
    </row>
    <row r="40" spans="1:2" s="20" customFormat="1"/>
    <row r="41" spans="1:2" s="20" customFormat="1" ht="14.25">
      <c r="B41" s="117" t="s">
        <v>93</v>
      </c>
    </row>
    <row r="42" spans="1:2" s="20" customFormat="1"/>
    <row r="43" spans="1:2" s="20" customFormat="1" ht="28.5">
      <c r="B43" s="117" t="s">
        <v>91</v>
      </c>
    </row>
    <row r="44" spans="1:2" s="20" customFormat="1"/>
    <row r="45" spans="1:2" ht="28.5">
      <c r="B45" s="117" t="s">
        <v>94</v>
      </c>
    </row>
    <row r="46" spans="1:2">
      <c r="B46" s="21"/>
    </row>
    <row r="47" spans="1:2" ht="28.5">
      <c r="B47" s="117" t="s">
        <v>95</v>
      </c>
    </row>
    <row r="48" spans="1:2">
      <c r="B48" s="11"/>
    </row>
    <row r="49" spans="1:2" ht="18">
      <c r="A49" s="148" t="s">
        <v>6</v>
      </c>
      <c r="B49" s="148"/>
    </row>
    <row r="50" spans="1:2" ht="28.5">
      <c r="B50" s="117" t="s">
        <v>127</v>
      </c>
    </row>
    <row r="51" spans="1:2">
      <c r="B51" s="11"/>
    </row>
    <row r="52" spans="1:2" ht="14.25">
      <c r="A52" s="124" t="s">
        <v>10</v>
      </c>
      <c r="B52" s="117" t="s">
        <v>11</v>
      </c>
    </row>
    <row r="53" spans="1:2" ht="14.25">
      <c r="A53" s="124" t="s">
        <v>12</v>
      </c>
      <c r="B53" s="117" t="s">
        <v>13</v>
      </c>
    </row>
    <row r="54" spans="1:2" ht="14.25">
      <c r="A54" s="124" t="s">
        <v>14</v>
      </c>
      <c r="B54" s="117" t="s">
        <v>15</v>
      </c>
    </row>
    <row r="55" spans="1:2" ht="28.5">
      <c r="A55" s="113"/>
      <c r="B55" s="117" t="s">
        <v>96</v>
      </c>
    </row>
    <row r="56" spans="1:2" ht="28.5">
      <c r="A56" s="113"/>
      <c r="B56" s="117" t="s">
        <v>97</v>
      </c>
    </row>
    <row r="57" spans="1:2" ht="14.25">
      <c r="A57" s="124" t="s">
        <v>16</v>
      </c>
      <c r="B57" s="117" t="s">
        <v>17</v>
      </c>
    </row>
    <row r="58" spans="1:2" ht="14.25">
      <c r="A58" s="113"/>
      <c r="B58" s="117" t="s">
        <v>98</v>
      </c>
    </row>
    <row r="59" spans="1:2" ht="14.25">
      <c r="A59" s="113"/>
      <c r="B59" s="117" t="s">
        <v>99</v>
      </c>
    </row>
    <row r="60" spans="1:2" ht="14.25">
      <c r="A60" s="124" t="s">
        <v>18</v>
      </c>
      <c r="B60" s="117" t="s">
        <v>19</v>
      </c>
    </row>
    <row r="61" spans="1:2" ht="28.5">
      <c r="A61" s="113"/>
      <c r="B61" s="117" t="s">
        <v>100</v>
      </c>
    </row>
    <row r="62" spans="1:2" ht="14.25">
      <c r="A62" s="124" t="s">
        <v>101</v>
      </c>
      <c r="B62" s="117" t="s">
        <v>102</v>
      </c>
    </row>
    <row r="63" spans="1:2" ht="14.25">
      <c r="A63" s="125"/>
      <c r="B63" s="117" t="s">
        <v>103</v>
      </c>
    </row>
    <row r="64" spans="1:2" s="20" customFormat="1">
      <c r="B64" s="12"/>
    </row>
    <row r="65" spans="1:2" s="20" customFormat="1" ht="18">
      <c r="A65" s="148" t="s">
        <v>8</v>
      </c>
      <c r="B65" s="148"/>
    </row>
    <row r="66" spans="1:2" s="20" customFormat="1" ht="42.75">
      <c r="B66" s="117" t="s">
        <v>104</v>
      </c>
    </row>
    <row r="67" spans="1:2" s="20" customFormat="1">
      <c r="B67" s="13"/>
    </row>
    <row r="68" spans="1:2" s="8" customFormat="1" ht="18">
      <c r="A68" s="148" t="s">
        <v>4</v>
      </c>
      <c r="B68" s="148"/>
    </row>
    <row r="69" spans="1:2" s="20" customFormat="1" ht="15">
      <c r="A69" s="132" t="s">
        <v>5</v>
      </c>
      <c r="B69" s="133" t="s">
        <v>105</v>
      </c>
    </row>
    <row r="70" spans="1:2" s="8" customFormat="1" ht="28.5">
      <c r="A70" s="126"/>
      <c r="B70" s="131" t="s">
        <v>107</v>
      </c>
    </row>
    <row r="71" spans="1:2" s="8" customFormat="1" ht="14.25">
      <c r="A71" s="126"/>
      <c r="B71" s="127"/>
    </row>
    <row r="72" spans="1:2" s="20" customFormat="1" ht="15">
      <c r="A72" s="132" t="s">
        <v>5</v>
      </c>
      <c r="B72" s="133" t="s">
        <v>124</v>
      </c>
    </row>
    <row r="73" spans="1:2" s="8" customFormat="1" ht="28.5">
      <c r="A73" s="126"/>
      <c r="B73" s="131" t="s">
        <v>129</v>
      </c>
    </row>
    <row r="74" spans="1:2" s="8" customFormat="1" ht="14.25">
      <c r="A74" s="126"/>
      <c r="B74" s="127"/>
    </row>
    <row r="75" spans="1:2" ht="15">
      <c r="A75" s="132" t="s">
        <v>5</v>
      </c>
      <c r="B75" s="135" t="s">
        <v>110</v>
      </c>
    </row>
    <row r="76" spans="1:2" s="8" customFormat="1" ht="42.75">
      <c r="A76" s="126"/>
      <c r="B76" s="115" t="s">
        <v>128</v>
      </c>
    </row>
    <row r="77" spans="1:2" ht="14.25">
      <c r="A77" s="125"/>
      <c r="B77" s="125"/>
    </row>
    <row r="78" spans="1:2" s="20" customFormat="1" ht="15">
      <c r="A78" s="132" t="s">
        <v>5</v>
      </c>
      <c r="B78" s="135" t="s">
        <v>116</v>
      </c>
    </row>
    <row r="79" spans="1:2" s="8" customFormat="1" ht="28.5">
      <c r="A79" s="126"/>
      <c r="B79" s="115" t="s">
        <v>111</v>
      </c>
    </row>
    <row r="80" spans="1:2" s="20" customFormat="1" ht="14.25">
      <c r="A80" s="125"/>
      <c r="B80" s="125"/>
    </row>
    <row r="81" spans="1:2" ht="15">
      <c r="A81" s="132" t="s">
        <v>5</v>
      </c>
      <c r="B81" s="135" t="s">
        <v>117</v>
      </c>
    </row>
    <row r="82" spans="1:2" s="8" customFormat="1" ht="14.25">
      <c r="A82" s="126"/>
      <c r="B82" s="130" t="s">
        <v>112</v>
      </c>
    </row>
    <row r="83" spans="1:2" s="8" customFormat="1" ht="14.25">
      <c r="A83" s="126"/>
      <c r="B83" s="130" t="s">
        <v>113</v>
      </c>
    </row>
    <row r="84" spans="1:2" s="8" customFormat="1" ht="14.25">
      <c r="A84" s="126"/>
      <c r="B84" s="130" t="s">
        <v>114</v>
      </c>
    </row>
    <row r="85" spans="1:2" ht="15">
      <c r="A85" s="125"/>
      <c r="B85" s="129"/>
    </row>
    <row r="86" spans="1:2" ht="15">
      <c r="A86" s="132" t="s">
        <v>5</v>
      </c>
      <c r="B86" s="135" t="s">
        <v>118</v>
      </c>
    </row>
    <row r="87" spans="1:2" s="8" customFormat="1" ht="42.75">
      <c r="A87" s="126"/>
      <c r="B87" s="115" t="s">
        <v>106</v>
      </c>
    </row>
    <row r="88" spans="1:2" s="8" customFormat="1" ht="14.25">
      <c r="A88" s="126"/>
      <c r="B88" s="128" t="s">
        <v>108</v>
      </c>
    </row>
    <row r="89" spans="1:2" s="8" customFormat="1" ht="57">
      <c r="A89" s="126"/>
      <c r="B89" s="134" t="s">
        <v>109</v>
      </c>
    </row>
    <row r="90" spans="1:2" ht="14.25">
      <c r="A90" s="125"/>
      <c r="B90" s="125"/>
    </row>
    <row r="91" spans="1:2" ht="15">
      <c r="A91" s="132" t="s">
        <v>5</v>
      </c>
      <c r="B91" s="137" t="s">
        <v>119</v>
      </c>
    </row>
    <row r="92" spans="1:2" ht="28.5">
      <c r="A92" s="113"/>
      <c r="B92" s="130" t="s">
        <v>20</v>
      </c>
    </row>
    <row r="94" spans="1:2">
      <c r="A94" s="28" t="s">
        <v>52</v>
      </c>
    </row>
  </sheetData>
  <mergeCells count="6">
    <mergeCell ref="A38:B38"/>
    <mergeCell ref="A49:B49"/>
    <mergeCell ref="A68:B68"/>
    <mergeCell ref="A13:B13"/>
    <mergeCell ref="A65:B65"/>
    <mergeCell ref="A24:B24"/>
  </mergeCells>
  <phoneticPr fontId="3" type="noConversion"/>
  <hyperlinks>
    <hyperlink ref="B9" r:id="rId1"/>
    <hyperlink ref="A2" r:id="rId2"/>
    <hyperlink ref="B36" r:id="rId3"/>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dimension ref="A1:D29"/>
  <sheetViews>
    <sheetView showGridLines="0" workbookViewId="0">
      <selection activeCell="A2" sqref="A2"/>
    </sheetView>
  </sheetViews>
  <sheetFormatPr defaultColWidth="8.85546875" defaultRowHeight="12.75"/>
  <cols>
    <col min="1" max="1" width="5.5703125" style="20" customWidth="1"/>
    <col min="2" max="2" width="82.140625" style="20" customWidth="1"/>
    <col min="3" max="16384" width="8.85546875" style="16"/>
  </cols>
  <sheetData>
    <row r="1" spans="1:4" ht="30" customHeight="1">
      <c r="A1" s="38" t="s">
        <v>50</v>
      </c>
      <c r="B1" s="38"/>
      <c r="C1" s="43"/>
      <c r="D1" s="43"/>
    </row>
    <row r="2" spans="1:4" ht="15">
      <c r="A2" s="40"/>
      <c r="B2" s="44"/>
      <c r="C2" s="43"/>
      <c r="D2" s="43"/>
    </row>
    <row r="3" spans="1:4" ht="15">
      <c r="A3" s="41"/>
      <c r="B3" s="34" t="s">
        <v>51</v>
      </c>
      <c r="C3" s="42"/>
    </row>
    <row r="4" spans="1:4" ht="14.25">
      <c r="A4" s="14"/>
      <c r="B4" s="36" t="s">
        <v>47</v>
      </c>
      <c r="C4" s="15"/>
    </row>
    <row r="5" spans="1:4" ht="15">
      <c r="A5" s="14"/>
      <c r="B5" s="17"/>
      <c r="C5" s="15"/>
    </row>
    <row r="6" spans="1:4" ht="15.75">
      <c r="A6" s="14"/>
      <c r="B6" s="18" t="s">
        <v>52</v>
      </c>
      <c r="C6" s="15"/>
    </row>
    <row r="7" spans="1:4" ht="15">
      <c r="A7" s="14"/>
      <c r="B7" s="17"/>
      <c r="C7" s="15"/>
    </row>
    <row r="8" spans="1:4" ht="30">
      <c r="A8" s="14"/>
      <c r="B8" s="17" t="s">
        <v>53</v>
      </c>
      <c r="C8" s="15"/>
    </row>
    <row r="9" spans="1:4" ht="15">
      <c r="A9" s="14"/>
      <c r="B9" s="17"/>
      <c r="C9" s="15"/>
    </row>
    <row r="10" spans="1:4" ht="46.5">
      <c r="A10" s="14"/>
      <c r="B10" s="17" t="s">
        <v>54</v>
      </c>
      <c r="C10" s="15"/>
    </row>
    <row r="11" spans="1:4" ht="15">
      <c r="A11" s="14"/>
      <c r="B11" s="17"/>
      <c r="C11" s="15"/>
    </row>
    <row r="12" spans="1:4" ht="45">
      <c r="A12" s="14"/>
      <c r="B12" s="17" t="s">
        <v>55</v>
      </c>
      <c r="C12" s="15"/>
    </row>
    <row r="13" spans="1:4" ht="15">
      <c r="A13" s="14"/>
      <c r="B13" s="17"/>
      <c r="C13" s="15"/>
    </row>
    <row r="14" spans="1:4" ht="60">
      <c r="A14" s="14"/>
      <c r="B14" s="17" t="s">
        <v>56</v>
      </c>
      <c r="C14" s="15"/>
    </row>
    <row r="15" spans="1:4" ht="15">
      <c r="A15" s="14"/>
      <c r="B15" s="17"/>
      <c r="C15" s="15"/>
    </row>
    <row r="16" spans="1:4" ht="30.75">
      <c r="A16" s="14"/>
      <c r="B16" s="17" t="s">
        <v>57</v>
      </c>
      <c r="C16" s="15"/>
    </row>
    <row r="17" spans="1:3" ht="15">
      <c r="A17" s="14"/>
      <c r="B17" s="17"/>
      <c r="C17" s="15"/>
    </row>
    <row r="18" spans="1:3" ht="15.75">
      <c r="A18" s="14"/>
      <c r="B18" s="18" t="s">
        <v>58</v>
      </c>
      <c r="C18" s="15"/>
    </row>
    <row r="19" spans="1:3" ht="15">
      <c r="A19" s="14"/>
      <c r="B19" s="35" t="s">
        <v>48</v>
      </c>
      <c r="C19" s="15"/>
    </row>
    <row r="20" spans="1:3" ht="15">
      <c r="A20" s="14"/>
      <c r="B20" s="19"/>
      <c r="C20" s="15"/>
    </row>
    <row r="21" spans="1:3">
      <c r="A21" s="14"/>
      <c r="B21" s="14"/>
      <c r="C21" s="15"/>
    </row>
    <row r="22" spans="1:3">
      <c r="A22" s="14"/>
      <c r="B22" s="14"/>
      <c r="C22" s="15"/>
    </row>
    <row r="23" spans="1:3">
      <c r="A23" s="14"/>
      <c r="B23" s="14"/>
      <c r="C23" s="15"/>
    </row>
    <row r="24" spans="1:3">
      <c r="A24" s="14"/>
      <c r="B24" s="14"/>
      <c r="C24" s="15"/>
    </row>
    <row r="25" spans="1:3">
      <c r="A25" s="14"/>
      <c r="B25" s="14"/>
      <c r="C25" s="15"/>
    </row>
    <row r="26" spans="1:3">
      <c r="A26" s="14"/>
      <c r="B26" s="14"/>
      <c r="C26" s="15"/>
    </row>
    <row r="27" spans="1:3">
      <c r="A27" s="14"/>
      <c r="B27" s="14"/>
      <c r="C27" s="15"/>
    </row>
    <row r="28" spans="1:3">
      <c r="A28" s="14"/>
      <c r="B28" s="14"/>
      <c r="C28" s="15"/>
    </row>
    <row r="29" spans="1:3">
      <c r="A29" s="14"/>
      <c r="B29" s="14"/>
      <c r="C29" s="15"/>
    </row>
  </sheetData>
  <hyperlinks>
    <hyperlink ref="B4" r:id="rId1"/>
    <hyperlink ref="B19" r:id="rId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Student</cp:lastModifiedBy>
  <cp:lastPrinted>2018-02-12T20:25:38Z</cp:lastPrinted>
  <dcterms:created xsi:type="dcterms:W3CDTF">2010-06-09T16:05:03Z</dcterms:created>
  <dcterms:modified xsi:type="dcterms:W3CDTF">2020-08-12T03:38:10Z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